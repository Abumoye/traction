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utsourcing\Documents\"/>
    </mc:Choice>
  </mc:AlternateContent>
  <xr:revisionPtr revIDLastSave="0" documentId="8_{B2D024F5-FAEB-47FD-B178-6A06C68EF8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YROLL" sheetId="1" r:id="rId1"/>
    <sheet name="E-SLIP" sheetId="2" r:id="rId2"/>
    <sheet name="OLD PAYE" sheetId="3" r:id="rId3"/>
    <sheet name="PAYE SHORT" sheetId="4" state="hidden" r:id="rId4"/>
    <sheet name="NEW PAYE" sheetId="5" r:id="rId5"/>
    <sheet name="WHT SCENES" sheetId="6" r:id="rId6"/>
    <sheet name="WHT RATES SIRS" sheetId="7" r:id="rId7"/>
    <sheet name="2026 PAYE SHORT" sheetId="8" r:id="rId8"/>
    <sheet name="CLEAN WAGE 2026 PAYE SHORT" sheetId="9" r:id="rId9"/>
  </sheets>
  <definedNames>
    <definedName name="_xlnm._FilterDatabase" localSheetId="0" hidden="1">PAYROLL!$A$3:$AF$55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9" l="1"/>
  <c r="F5" i="9"/>
  <c r="F4" i="9"/>
  <c r="F3" i="9"/>
  <c r="F6" i="8"/>
  <c r="E6" i="8"/>
  <c r="D6" i="8"/>
  <c r="C6" i="8"/>
  <c r="H6" i="8" s="1"/>
  <c r="J6" i="8" s="1"/>
  <c r="F5" i="8"/>
  <c r="E5" i="8"/>
  <c r="D5" i="8"/>
  <c r="C5" i="8"/>
  <c r="H5" i="8" s="1"/>
  <c r="J5" i="8" s="1"/>
  <c r="F4" i="8"/>
  <c r="E4" i="8"/>
  <c r="D4" i="8"/>
  <c r="C4" i="8"/>
  <c r="H4" i="8" s="1"/>
  <c r="J4" i="8" s="1"/>
  <c r="F3" i="8"/>
  <c r="E3" i="8"/>
  <c r="D3" i="8"/>
  <c r="C3" i="8"/>
  <c r="H3" i="8" s="1"/>
  <c r="J3" i="8" s="1"/>
  <c r="H22" i="7"/>
  <c r="I22" i="7" s="1"/>
  <c r="H21" i="7"/>
  <c r="I21" i="7" s="1"/>
  <c r="H20" i="7"/>
  <c r="I20" i="7" s="1"/>
  <c r="H19" i="7"/>
  <c r="I19" i="7" s="1"/>
  <c r="H18" i="7"/>
  <c r="I18" i="7" s="1"/>
  <c r="H17" i="7"/>
  <c r="I17" i="7" s="1"/>
  <c r="H16" i="7"/>
  <c r="I16" i="7" s="1"/>
  <c r="U54" i="5"/>
  <c r="K54" i="5"/>
  <c r="J54" i="5"/>
  <c r="I54" i="5"/>
  <c r="H54" i="5"/>
  <c r="G54" i="5"/>
  <c r="E54" i="5"/>
  <c r="U53" i="5"/>
  <c r="K53" i="5"/>
  <c r="J53" i="5"/>
  <c r="I53" i="5"/>
  <c r="H53" i="5"/>
  <c r="G53" i="5"/>
  <c r="E53" i="5"/>
  <c r="U52" i="5"/>
  <c r="K52" i="5"/>
  <c r="J52" i="5"/>
  <c r="I52" i="5"/>
  <c r="H52" i="5"/>
  <c r="G52" i="5"/>
  <c r="E52" i="5"/>
  <c r="U51" i="5"/>
  <c r="K51" i="5"/>
  <c r="J51" i="5"/>
  <c r="I51" i="5"/>
  <c r="H51" i="5"/>
  <c r="G51" i="5"/>
  <c r="E51" i="5"/>
  <c r="U50" i="5"/>
  <c r="K50" i="5"/>
  <c r="J50" i="5"/>
  <c r="I50" i="5"/>
  <c r="H50" i="5"/>
  <c r="G50" i="5"/>
  <c r="E50" i="5"/>
  <c r="U49" i="5"/>
  <c r="K49" i="5"/>
  <c r="J49" i="5"/>
  <c r="I49" i="5"/>
  <c r="H49" i="5"/>
  <c r="G49" i="5"/>
  <c r="E49" i="5"/>
  <c r="U48" i="5"/>
  <c r="K48" i="5"/>
  <c r="J48" i="5"/>
  <c r="I48" i="5"/>
  <c r="H48" i="5"/>
  <c r="G48" i="5"/>
  <c r="E48" i="5"/>
  <c r="U47" i="5"/>
  <c r="K47" i="5"/>
  <c r="J47" i="5"/>
  <c r="I47" i="5"/>
  <c r="H47" i="5"/>
  <c r="G47" i="5"/>
  <c r="E47" i="5"/>
  <c r="U46" i="5"/>
  <c r="K46" i="5"/>
  <c r="J46" i="5"/>
  <c r="I46" i="5"/>
  <c r="H46" i="5"/>
  <c r="G46" i="5"/>
  <c r="E46" i="5"/>
  <c r="U45" i="5"/>
  <c r="K45" i="5"/>
  <c r="J45" i="5"/>
  <c r="I45" i="5"/>
  <c r="H45" i="5"/>
  <c r="G45" i="5"/>
  <c r="E45" i="5"/>
  <c r="U44" i="5"/>
  <c r="K44" i="5"/>
  <c r="J44" i="5"/>
  <c r="I44" i="5"/>
  <c r="H44" i="5"/>
  <c r="G44" i="5"/>
  <c r="E44" i="5"/>
  <c r="U43" i="5"/>
  <c r="K43" i="5"/>
  <c r="J43" i="5"/>
  <c r="I43" i="5"/>
  <c r="H43" i="5"/>
  <c r="G43" i="5"/>
  <c r="E43" i="5"/>
  <c r="U42" i="5"/>
  <c r="K42" i="5"/>
  <c r="J42" i="5"/>
  <c r="I42" i="5"/>
  <c r="H42" i="5"/>
  <c r="G42" i="5"/>
  <c r="E42" i="5"/>
  <c r="U41" i="5"/>
  <c r="K41" i="5"/>
  <c r="J41" i="5"/>
  <c r="I41" i="5"/>
  <c r="H41" i="5"/>
  <c r="G41" i="5"/>
  <c r="E41" i="5"/>
  <c r="U40" i="5"/>
  <c r="K40" i="5"/>
  <c r="J40" i="5"/>
  <c r="I40" i="5"/>
  <c r="H40" i="5"/>
  <c r="G40" i="5"/>
  <c r="E40" i="5"/>
  <c r="U39" i="5"/>
  <c r="K39" i="5"/>
  <c r="J39" i="5"/>
  <c r="I39" i="5"/>
  <c r="H39" i="5"/>
  <c r="G39" i="5"/>
  <c r="E39" i="5"/>
  <c r="U38" i="5"/>
  <c r="K38" i="5"/>
  <c r="J38" i="5"/>
  <c r="I38" i="5"/>
  <c r="H38" i="5"/>
  <c r="G38" i="5"/>
  <c r="E38" i="5"/>
  <c r="U37" i="5"/>
  <c r="K37" i="5"/>
  <c r="J37" i="5"/>
  <c r="I37" i="5"/>
  <c r="H37" i="5"/>
  <c r="G37" i="5"/>
  <c r="E37" i="5"/>
  <c r="U36" i="5"/>
  <c r="K36" i="5"/>
  <c r="J36" i="5"/>
  <c r="I36" i="5"/>
  <c r="H36" i="5"/>
  <c r="G36" i="5"/>
  <c r="E36" i="5"/>
  <c r="U35" i="5"/>
  <c r="K35" i="5"/>
  <c r="J35" i="5"/>
  <c r="I35" i="5"/>
  <c r="H35" i="5"/>
  <c r="G35" i="5"/>
  <c r="E35" i="5"/>
  <c r="U34" i="5"/>
  <c r="K34" i="5"/>
  <c r="J34" i="5"/>
  <c r="I34" i="5"/>
  <c r="H34" i="5"/>
  <c r="G34" i="5"/>
  <c r="E34" i="5"/>
  <c r="U33" i="5"/>
  <c r="K33" i="5"/>
  <c r="J33" i="5"/>
  <c r="I33" i="5"/>
  <c r="H33" i="5"/>
  <c r="G33" i="5"/>
  <c r="E33" i="5"/>
  <c r="U32" i="5"/>
  <c r="K32" i="5"/>
  <c r="J32" i="5"/>
  <c r="I32" i="5"/>
  <c r="H32" i="5"/>
  <c r="G32" i="5"/>
  <c r="E32" i="5"/>
  <c r="U31" i="5"/>
  <c r="K31" i="5"/>
  <c r="J31" i="5"/>
  <c r="I31" i="5"/>
  <c r="H31" i="5"/>
  <c r="G31" i="5"/>
  <c r="E31" i="5"/>
  <c r="U30" i="5"/>
  <c r="K30" i="5"/>
  <c r="J30" i="5"/>
  <c r="I30" i="5"/>
  <c r="H30" i="5"/>
  <c r="G30" i="5"/>
  <c r="E30" i="5"/>
  <c r="U29" i="5"/>
  <c r="K29" i="5"/>
  <c r="J29" i="5"/>
  <c r="I29" i="5"/>
  <c r="H29" i="5"/>
  <c r="G29" i="5"/>
  <c r="E29" i="5"/>
  <c r="U28" i="5"/>
  <c r="K28" i="5"/>
  <c r="J28" i="5"/>
  <c r="I28" i="5"/>
  <c r="H28" i="5"/>
  <c r="G28" i="5"/>
  <c r="E28" i="5"/>
  <c r="U27" i="5"/>
  <c r="K27" i="5"/>
  <c r="J27" i="5"/>
  <c r="I27" i="5"/>
  <c r="H27" i="5"/>
  <c r="G27" i="5"/>
  <c r="E27" i="5"/>
  <c r="U26" i="5"/>
  <c r="K26" i="5"/>
  <c r="J26" i="5"/>
  <c r="I26" i="5"/>
  <c r="H26" i="5"/>
  <c r="G26" i="5"/>
  <c r="E26" i="5"/>
  <c r="U25" i="5"/>
  <c r="K25" i="5"/>
  <c r="J25" i="5"/>
  <c r="I25" i="5"/>
  <c r="H25" i="5"/>
  <c r="G25" i="5"/>
  <c r="E25" i="5"/>
  <c r="U24" i="5"/>
  <c r="K24" i="5"/>
  <c r="J24" i="5"/>
  <c r="I24" i="5"/>
  <c r="H24" i="5"/>
  <c r="G24" i="5"/>
  <c r="E24" i="5"/>
  <c r="U23" i="5"/>
  <c r="K23" i="5"/>
  <c r="J23" i="5"/>
  <c r="I23" i="5"/>
  <c r="H23" i="5"/>
  <c r="G23" i="5"/>
  <c r="E23" i="5"/>
  <c r="U22" i="5"/>
  <c r="K22" i="5"/>
  <c r="J22" i="5"/>
  <c r="I22" i="5"/>
  <c r="H22" i="5"/>
  <c r="G22" i="5"/>
  <c r="E22" i="5"/>
  <c r="U21" i="5"/>
  <c r="K21" i="5"/>
  <c r="J21" i="5"/>
  <c r="I21" i="5"/>
  <c r="H21" i="5"/>
  <c r="G21" i="5"/>
  <c r="E21" i="5"/>
  <c r="U20" i="5"/>
  <c r="K20" i="5"/>
  <c r="J20" i="5"/>
  <c r="I20" i="5"/>
  <c r="H20" i="5"/>
  <c r="G20" i="5"/>
  <c r="E20" i="5"/>
  <c r="AF19" i="5"/>
  <c r="U19" i="5"/>
  <c r="K19" i="5"/>
  <c r="J19" i="5"/>
  <c r="I19" i="5"/>
  <c r="H19" i="5"/>
  <c r="G19" i="5"/>
  <c r="E19" i="5"/>
  <c r="U18" i="5"/>
  <c r="K18" i="5"/>
  <c r="J18" i="5"/>
  <c r="I18" i="5"/>
  <c r="H18" i="5"/>
  <c r="G18" i="5"/>
  <c r="E18" i="5"/>
  <c r="U17" i="5"/>
  <c r="K17" i="5"/>
  <c r="J17" i="5"/>
  <c r="I17" i="5"/>
  <c r="H17" i="5"/>
  <c r="G17" i="5"/>
  <c r="E17" i="5"/>
  <c r="U16" i="5"/>
  <c r="K16" i="5"/>
  <c r="J16" i="5"/>
  <c r="I16" i="5"/>
  <c r="H16" i="5"/>
  <c r="G16" i="5"/>
  <c r="E16" i="5"/>
  <c r="U15" i="5"/>
  <c r="K15" i="5"/>
  <c r="J15" i="5"/>
  <c r="I15" i="5"/>
  <c r="H15" i="5"/>
  <c r="G15" i="5"/>
  <c r="E15" i="5"/>
  <c r="U14" i="5"/>
  <c r="K14" i="5"/>
  <c r="J14" i="5"/>
  <c r="I14" i="5"/>
  <c r="H14" i="5"/>
  <c r="G14" i="5"/>
  <c r="E14" i="5"/>
  <c r="U13" i="5"/>
  <c r="K13" i="5"/>
  <c r="J13" i="5"/>
  <c r="I13" i="5"/>
  <c r="H13" i="5"/>
  <c r="G13" i="5"/>
  <c r="E13" i="5"/>
  <c r="U12" i="5"/>
  <c r="K12" i="5"/>
  <c r="J12" i="5"/>
  <c r="I12" i="5"/>
  <c r="H12" i="5"/>
  <c r="G12" i="5"/>
  <c r="E12" i="5"/>
  <c r="U11" i="5"/>
  <c r="K11" i="5"/>
  <c r="J11" i="5"/>
  <c r="I11" i="5"/>
  <c r="H11" i="5"/>
  <c r="G11" i="5"/>
  <c r="E11" i="5"/>
  <c r="U10" i="5"/>
  <c r="K10" i="5"/>
  <c r="J10" i="5"/>
  <c r="I10" i="5"/>
  <c r="H10" i="5"/>
  <c r="G10" i="5"/>
  <c r="E10" i="5"/>
  <c r="U9" i="5"/>
  <c r="K9" i="5"/>
  <c r="J9" i="5"/>
  <c r="I9" i="5"/>
  <c r="H9" i="5"/>
  <c r="G9" i="5"/>
  <c r="E9" i="5"/>
  <c r="U8" i="5"/>
  <c r="K8" i="5"/>
  <c r="J8" i="5"/>
  <c r="I8" i="5"/>
  <c r="H8" i="5"/>
  <c r="G8" i="5"/>
  <c r="E8" i="5"/>
  <c r="U7" i="5"/>
  <c r="K7" i="5"/>
  <c r="J7" i="5"/>
  <c r="I7" i="5"/>
  <c r="H7" i="5"/>
  <c r="G7" i="5"/>
  <c r="E7" i="5"/>
  <c r="U6" i="5"/>
  <c r="K6" i="5"/>
  <c r="J6" i="5"/>
  <c r="I6" i="5"/>
  <c r="H6" i="5"/>
  <c r="G6" i="5"/>
  <c r="E6" i="5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N8" i="4"/>
  <c r="E8" i="4"/>
  <c r="E7" i="4"/>
  <c r="E6" i="4"/>
  <c r="G5" i="4"/>
  <c r="F5" i="4"/>
  <c r="H5" i="4" s="1"/>
  <c r="J56" i="3"/>
  <c r="I56" i="3"/>
  <c r="H56" i="3"/>
  <c r="G56" i="3"/>
  <c r="F56" i="3"/>
  <c r="J55" i="3"/>
  <c r="I55" i="3"/>
  <c r="H55" i="3"/>
  <c r="G55" i="3"/>
  <c r="F55" i="3"/>
  <c r="J54" i="3"/>
  <c r="I54" i="3"/>
  <c r="H54" i="3"/>
  <c r="G54" i="3"/>
  <c r="F54" i="3"/>
  <c r="J53" i="3"/>
  <c r="I53" i="3"/>
  <c r="H53" i="3"/>
  <c r="G53" i="3"/>
  <c r="F53" i="3"/>
  <c r="J52" i="3"/>
  <c r="I52" i="3"/>
  <c r="H52" i="3"/>
  <c r="G52" i="3"/>
  <c r="F52" i="3"/>
  <c r="J51" i="3"/>
  <c r="I51" i="3"/>
  <c r="H51" i="3"/>
  <c r="G51" i="3"/>
  <c r="F51" i="3"/>
  <c r="J50" i="3"/>
  <c r="I50" i="3"/>
  <c r="H50" i="3"/>
  <c r="G50" i="3"/>
  <c r="F50" i="3"/>
  <c r="J49" i="3"/>
  <c r="I49" i="3"/>
  <c r="H49" i="3"/>
  <c r="G49" i="3"/>
  <c r="F49" i="3"/>
  <c r="J48" i="3"/>
  <c r="I48" i="3"/>
  <c r="H48" i="3"/>
  <c r="G48" i="3"/>
  <c r="F48" i="3"/>
  <c r="J47" i="3"/>
  <c r="I47" i="3"/>
  <c r="H47" i="3"/>
  <c r="G47" i="3"/>
  <c r="F47" i="3"/>
  <c r="J46" i="3"/>
  <c r="I46" i="3"/>
  <c r="H46" i="3"/>
  <c r="G46" i="3"/>
  <c r="F46" i="3"/>
  <c r="J45" i="3"/>
  <c r="I45" i="3"/>
  <c r="H45" i="3"/>
  <c r="G45" i="3"/>
  <c r="F45" i="3"/>
  <c r="J44" i="3"/>
  <c r="I44" i="3"/>
  <c r="H44" i="3"/>
  <c r="G44" i="3"/>
  <c r="F44" i="3"/>
  <c r="J43" i="3"/>
  <c r="I43" i="3"/>
  <c r="H43" i="3"/>
  <c r="G43" i="3"/>
  <c r="F43" i="3"/>
  <c r="J42" i="3"/>
  <c r="I42" i="3"/>
  <c r="H42" i="3"/>
  <c r="G42" i="3"/>
  <c r="F42" i="3"/>
  <c r="AD41" i="3"/>
  <c r="L41" i="3"/>
  <c r="J41" i="3"/>
  <c r="K41" i="3" s="1"/>
  <c r="I41" i="3"/>
  <c r="H41" i="3"/>
  <c r="G41" i="3"/>
  <c r="F41" i="3"/>
  <c r="J40" i="3"/>
  <c r="I40" i="3"/>
  <c r="H40" i="3"/>
  <c r="G40" i="3"/>
  <c r="F40" i="3"/>
  <c r="J39" i="3"/>
  <c r="I39" i="3"/>
  <c r="H39" i="3"/>
  <c r="G39" i="3"/>
  <c r="F39" i="3"/>
  <c r="J38" i="3"/>
  <c r="I38" i="3"/>
  <c r="H38" i="3"/>
  <c r="G38" i="3"/>
  <c r="F38" i="3"/>
  <c r="J37" i="3"/>
  <c r="I37" i="3"/>
  <c r="H37" i="3"/>
  <c r="G37" i="3"/>
  <c r="F37" i="3"/>
  <c r="J36" i="3"/>
  <c r="I36" i="3"/>
  <c r="H36" i="3"/>
  <c r="G36" i="3"/>
  <c r="F36" i="3"/>
  <c r="J35" i="3"/>
  <c r="I35" i="3"/>
  <c r="H35" i="3"/>
  <c r="G35" i="3"/>
  <c r="F35" i="3"/>
  <c r="J34" i="3"/>
  <c r="I34" i="3"/>
  <c r="H34" i="3"/>
  <c r="G34" i="3"/>
  <c r="F34" i="3"/>
  <c r="J33" i="3"/>
  <c r="I33" i="3"/>
  <c r="H33" i="3"/>
  <c r="G33" i="3"/>
  <c r="F33" i="3"/>
  <c r="J32" i="3"/>
  <c r="I32" i="3"/>
  <c r="H32" i="3"/>
  <c r="G32" i="3"/>
  <c r="F32" i="3"/>
  <c r="J31" i="3"/>
  <c r="I31" i="3"/>
  <c r="H31" i="3"/>
  <c r="G31" i="3"/>
  <c r="F31" i="3"/>
  <c r="J30" i="3"/>
  <c r="I30" i="3"/>
  <c r="H30" i="3"/>
  <c r="G30" i="3"/>
  <c r="F30" i="3"/>
  <c r="J29" i="3"/>
  <c r="I29" i="3"/>
  <c r="H29" i="3"/>
  <c r="G29" i="3"/>
  <c r="F29" i="3"/>
  <c r="J28" i="3"/>
  <c r="I28" i="3"/>
  <c r="H28" i="3"/>
  <c r="G28" i="3"/>
  <c r="F28" i="3"/>
  <c r="J27" i="3"/>
  <c r="I27" i="3"/>
  <c r="H27" i="3"/>
  <c r="G27" i="3"/>
  <c r="F27" i="3"/>
  <c r="J26" i="3"/>
  <c r="I26" i="3"/>
  <c r="H26" i="3"/>
  <c r="G26" i="3"/>
  <c r="F26" i="3"/>
  <c r="J25" i="3"/>
  <c r="I25" i="3"/>
  <c r="H25" i="3"/>
  <c r="G25" i="3"/>
  <c r="F25" i="3"/>
  <c r="J24" i="3"/>
  <c r="I24" i="3"/>
  <c r="H24" i="3"/>
  <c r="G24" i="3"/>
  <c r="F24" i="3"/>
  <c r="J23" i="3"/>
  <c r="I23" i="3"/>
  <c r="H23" i="3"/>
  <c r="G23" i="3"/>
  <c r="F23" i="3"/>
  <c r="J22" i="3"/>
  <c r="I22" i="3"/>
  <c r="H22" i="3"/>
  <c r="G22" i="3"/>
  <c r="F22" i="3"/>
  <c r="J21" i="3"/>
  <c r="I21" i="3"/>
  <c r="H21" i="3"/>
  <c r="G21" i="3"/>
  <c r="F21" i="3"/>
  <c r="J20" i="3"/>
  <c r="I20" i="3"/>
  <c r="H20" i="3"/>
  <c r="G20" i="3"/>
  <c r="F20" i="3"/>
  <c r="J19" i="3"/>
  <c r="I19" i="3"/>
  <c r="H19" i="3"/>
  <c r="G19" i="3"/>
  <c r="F19" i="3"/>
  <c r="J18" i="3"/>
  <c r="I18" i="3"/>
  <c r="H18" i="3"/>
  <c r="G18" i="3"/>
  <c r="F18" i="3"/>
  <c r="J17" i="3"/>
  <c r="I17" i="3"/>
  <c r="H17" i="3"/>
  <c r="G17" i="3"/>
  <c r="F17" i="3"/>
  <c r="J16" i="3"/>
  <c r="I16" i="3"/>
  <c r="H16" i="3"/>
  <c r="G16" i="3"/>
  <c r="F16" i="3"/>
  <c r="J15" i="3"/>
  <c r="I15" i="3"/>
  <c r="H15" i="3"/>
  <c r="G15" i="3"/>
  <c r="F15" i="3"/>
  <c r="J14" i="3"/>
  <c r="I14" i="3"/>
  <c r="H14" i="3"/>
  <c r="G14" i="3"/>
  <c r="F14" i="3"/>
  <c r="J13" i="3"/>
  <c r="I13" i="3"/>
  <c r="H13" i="3"/>
  <c r="G13" i="3"/>
  <c r="F13" i="3"/>
  <c r="J12" i="3"/>
  <c r="I12" i="3"/>
  <c r="H12" i="3"/>
  <c r="G12" i="3"/>
  <c r="F12" i="3"/>
  <c r="J11" i="3"/>
  <c r="I11" i="3"/>
  <c r="H11" i="3"/>
  <c r="G11" i="3"/>
  <c r="F11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J7" i="3"/>
  <c r="I7" i="3"/>
  <c r="H7" i="3"/>
  <c r="G7" i="3"/>
  <c r="F7" i="3"/>
  <c r="B36" i="2"/>
  <c r="C23" i="2"/>
  <c r="D6" i="2"/>
  <c r="Y55" i="1"/>
  <c r="X55" i="1"/>
  <c r="W55" i="1"/>
  <c r="V55" i="1"/>
  <c r="U55" i="1"/>
  <c r="T55" i="1"/>
  <c r="S55" i="1"/>
  <c r="P55" i="1"/>
  <c r="O55" i="1"/>
  <c r="AI54" i="1"/>
  <c r="AH54" i="1"/>
  <c r="AA54" i="1"/>
  <c r="Z54" i="1"/>
  <c r="Q54" i="1"/>
  <c r="M54" i="1"/>
  <c r="L54" i="1"/>
  <c r="K54" i="1"/>
  <c r="J54" i="1"/>
  <c r="I54" i="1"/>
  <c r="G54" i="1"/>
  <c r="H54" i="1" s="1"/>
  <c r="F54" i="1"/>
  <c r="AI53" i="1"/>
  <c r="AH53" i="1"/>
  <c r="Z53" i="1"/>
  <c r="O53" i="1"/>
  <c r="G53" i="1"/>
  <c r="H53" i="1" s="1"/>
  <c r="F53" i="1"/>
  <c r="AI52" i="1"/>
  <c r="AH52" i="1"/>
  <c r="Z52" i="1"/>
  <c r="O52" i="1"/>
  <c r="G52" i="1"/>
  <c r="H52" i="1" s="1"/>
  <c r="F52" i="1"/>
  <c r="AI51" i="1"/>
  <c r="AH51" i="1"/>
  <c r="Z51" i="1"/>
  <c r="O51" i="1"/>
  <c r="G51" i="1"/>
  <c r="H51" i="1" s="1"/>
  <c r="F51" i="1"/>
  <c r="AI50" i="1"/>
  <c r="AH50" i="1"/>
  <c r="Z50" i="1"/>
  <c r="O50" i="1"/>
  <c r="G50" i="1"/>
  <c r="H50" i="1" s="1"/>
  <c r="F50" i="1"/>
  <c r="AI49" i="1"/>
  <c r="AH49" i="1"/>
  <c r="Z49" i="1"/>
  <c r="O49" i="1"/>
  <c r="G49" i="1"/>
  <c r="H49" i="1" s="1"/>
  <c r="F49" i="1"/>
  <c r="AI48" i="1"/>
  <c r="AH48" i="1"/>
  <c r="Z48" i="1"/>
  <c r="O48" i="1"/>
  <c r="G48" i="1"/>
  <c r="H48" i="1" s="1"/>
  <c r="F48" i="1"/>
  <c r="AI47" i="1"/>
  <c r="AH47" i="1"/>
  <c r="Z47" i="1"/>
  <c r="O47" i="1"/>
  <c r="G47" i="1"/>
  <c r="H47" i="1" s="1"/>
  <c r="F47" i="1"/>
  <c r="AI46" i="1"/>
  <c r="AH46" i="1"/>
  <c r="Z46" i="1"/>
  <c r="O46" i="1"/>
  <c r="G46" i="1"/>
  <c r="H46" i="1" s="1"/>
  <c r="F46" i="1"/>
  <c r="AI45" i="1"/>
  <c r="AH45" i="1"/>
  <c r="Z45" i="1"/>
  <c r="O45" i="1"/>
  <c r="G45" i="1"/>
  <c r="H45" i="1" s="1"/>
  <c r="F45" i="1"/>
  <c r="AI44" i="1"/>
  <c r="AH44" i="1"/>
  <c r="Z44" i="1"/>
  <c r="F44" i="1"/>
  <c r="H44" i="1" s="1"/>
  <c r="AI43" i="1"/>
  <c r="AH43" i="1"/>
  <c r="Z43" i="1"/>
  <c r="O43" i="1"/>
  <c r="G43" i="1"/>
  <c r="H43" i="1" s="1"/>
  <c r="F43" i="1"/>
  <c r="AI42" i="1"/>
  <c r="AH42" i="1"/>
  <c r="Z42" i="1"/>
  <c r="O42" i="1"/>
  <c r="G42" i="1"/>
  <c r="H42" i="1" s="1"/>
  <c r="F42" i="1"/>
  <c r="AI41" i="1"/>
  <c r="AH41" i="1"/>
  <c r="Z41" i="1"/>
  <c r="G41" i="1"/>
  <c r="H41" i="1" s="1"/>
  <c r="F41" i="1"/>
  <c r="AI40" i="1"/>
  <c r="AH40" i="1"/>
  <c r="Z40" i="1"/>
  <c r="G40" i="1"/>
  <c r="H40" i="1" s="1"/>
  <c r="F40" i="1"/>
  <c r="AI39" i="1"/>
  <c r="AH39" i="1"/>
  <c r="Z39" i="1"/>
  <c r="G39" i="1"/>
  <c r="H39" i="1" s="1"/>
  <c r="F39" i="1"/>
  <c r="AI38" i="1"/>
  <c r="AH38" i="1"/>
  <c r="Z38" i="1"/>
  <c r="G38" i="1"/>
  <c r="H38" i="1" s="1"/>
  <c r="F38" i="1"/>
  <c r="AI37" i="1"/>
  <c r="AH37" i="1"/>
  <c r="Z37" i="1"/>
  <c r="G37" i="1"/>
  <c r="H37" i="1" s="1"/>
  <c r="F37" i="1"/>
  <c r="AI36" i="1"/>
  <c r="AH36" i="1"/>
  <c r="Z36" i="1"/>
  <c r="G36" i="1"/>
  <c r="H36" i="1" s="1"/>
  <c r="F36" i="1"/>
  <c r="AI35" i="1"/>
  <c r="AH35" i="1"/>
  <c r="Z35" i="1"/>
  <c r="G35" i="1"/>
  <c r="H35" i="1" s="1"/>
  <c r="F35" i="1"/>
  <c r="AI34" i="1"/>
  <c r="AH34" i="1"/>
  <c r="Z34" i="1"/>
  <c r="G34" i="1"/>
  <c r="H34" i="1" s="1"/>
  <c r="F34" i="1"/>
  <c r="AI33" i="1"/>
  <c r="AH33" i="1"/>
  <c r="Z33" i="1"/>
  <c r="G33" i="1"/>
  <c r="H33" i="1" s="1"/>
  <c r="F33" i="1"/>
  <c r="AI32" i="1"/>
  <c r="AH32" i="1"/>
  <c r="Z32" i="1"/>
  <c r="G32" i="1"/>
  <c r="H32" i="1" s="1"/>
  <c r="F32" i="1"/>
  <c r="AI31" i="1"/>
  <c r="AH31" i="1"/>
  <c r="Z31" i="1"/>
  <c r="G31" i="1"/>
  <c r="H31" i="1" s="1"/>
  <c r="F31" i="1"/>
  <c r="AI30" i="1"/>
  <c r="AH30" i="1"/>
  <c r="Z30" i="1"/>
  <c r="G30" i="1"/>
  <c r="H30" i="1" s="1"/>
  <c r="F30" i="1"/>
  <c r="AI29" i="1"/>
  <c r="AH29" i="1"/>
  <c r="Z29" i="1"/>
  <c r="G29" i="1"/>
  <c r="H29" i="1" s="1"/>
  <c r="F29" i="1"/>
  <c r="AI28" i="1"/>
  <c r="AH28" i="1"/>
  <c r="Z28" i="1"/>
  <c r="G28" i="1"/>
  <c r="H28" i="1" s="1"/>
  <c r="F28" i="1"/>
  <c r="AI27" i="1"/>
  <c r="AH27" i="1"/>
  <c r="Z27" i="1"/>
  <c r="G27" i="1"/>
  <c r="H27" i="1" s="1"/>
  <c r="F27" i="1"/>
  <c r="AI26" i="1"/>
  <c r="AH26" i="1"/>
  <c r="Z26" i="1"/>
  <c r="G26" i="1"/>
  <c r="H26" i="1" s="1"/>
  <c r="F26" i="1"/>
  <c r="AI25" i="1"/>
  <c r="AH25" i="1"/>
  <c r="Z25" i="1"/>
  <c r="G25" i="1"/>
  <c r="H25" i="1" s="1"/>
  <c r="F25" i="1"/>
  <c r="AI24" i="1"/>
  <c r="AH24" i="1"/>
  <c r="Z24" i="1"/>
  <c r="G24" i="1"/>
  <c r="H24" i="1" s="1"/>
  <c r="F24" i="1"/>
  <c r="AI23" i="1"/>
  <c r="AH23" i="1"/>
  <c r="Z23" i="1"/>
  <c r="G23" i="1"/>
  <c r="H23" i="1" s="1"/>
  <c r="F23" i="1"/>
  <c r="AI22" i="1"/>
  <c r="AH22" i="1"/>
  <c r="Z22" i="1"/>
  <c r="G22" i="1"/>
  <c r="H22" i="1" s="1"/>
  <c r="F22" i="1"/>
  <c r="AI21" i="1"/>
  <c r="AH21" i="1"/>
  <c r="Z21" i="1"/>
  <c r="G21" i="1"/>
  <c r="H21" i="1" s="1"/>
  <c r="F21" i="1"/>
  <c r="AI20" i="1"/>
  <c r="AH20" i="1"/>
  <c r="Z20" i="1"/>
  <c r="G20" i="1"/>
  <c r="H20" i="1" s="1"/>
  <c r="F20" i="1"/>
  <c r="AI19" i="1"/>
  <c r="AH19" i="1"/>
  <c r="Z19" i="1"/>
  <c r="G19" i="1"/>
  <c r="H19" i="1" s="1"/>
  <c r="F19" i="1"/>
  <c r="AI18" i="1"/>
  <c r="AH18" i="1"/>
  <c r="Z18" i="1"/>
  <c r="G18" i="1"/>
  <c r="H18" i="1" s="1"/>
  <c r="F18" i="1"/>
  <c r="AI17" i="1"/>
  <c r="AH17" i="1"/>
  <c r="Z17" i="1"/>
  <c r="G17" i="1"/>
  <c r="H17" i="1" s="1"/>
  <c r="F17" i="1"/>
  <c r="AI16" i="1"/>
  <c r="AH16" i="1"/>
  <c r="Z16" i="1"/>
  <c r="G16" i="1"/>
  <c r="H16" i="1" s="1"/>
  <c r="F16" i="1"/>
  <c r="AI15" i="1"/>
  <c r="AH15" i="1"/>
  <c r="Z15" i="1"/>
  <c r="G15" i="1"/>
  <c r="H15" i="1" s="1"/>
  <c r="F15" i="1"/>
  <c r="AI14" i="1"/>
  <c r="AH14" i="1"/>
  <c r="Z14" i="1"/>
  <c r="G14" i="1"/>
  <c r="H14" i="1" s="1"/>
  <c r="F14" i="1"/>
  <c r="AI13" i="1"/>
  <c r="AH13" i="1"/>
  <c r="Z13" i="1"/>
  <c r="G13" i="1"/>
  <c r="H13" i="1" s="1"/>
  <c r="F13" i="1"/>
  <c r="AI12" i="1"/>
  <c r="AH12" i="1"/>
  <c r="Z12" i="1"/>
  <c r="G12" i="1"/>
  <c r="H12" i="1" s="1"/>
  <c r="F12" i="1"/>
  <c r="AI11" i="1"/>
  <c r="AH11" i="1"/>
  <c r="Z11" i="1"/>
  <c r="G11" i="1"/>
  <c r="H11" i="1" s="1"/>
  <c r="F11" i="1"/>
  <c r="AI10" i="1"/>
  <c r="AH10" i="1"/>
  <c r="Z10" i="1"/>
  <c r="G10" i="1"/>
  <c r="H10" i="1" s="1"/>
  <c r="F10" i="1"/>
  <c r="AI9" i="1"/>
  <c r="AH9" i="1"/>
  <c r="Z9" i="1"/>
  <c r="O9" i="1"/>
  <c r="G9" i="1"/>
  <c r="H9" i="1" s="1"/>
  <c r="F9" i="1"/>
  <c r="AI8" i="1"/>
  <c r="AH8" i="1"/>
  <c r="O8" i="1"/>
  <c r="G8" i="1"/>
  <c r="H8" i="1" s="1"/>
  <c r="F8" i="1"/>
  <c r="AI7" i="1"/>
  <c r="AH7" i="1"/>
  <c r="O7" i="1"/>
  <c r="G7" i="1"/>
  <c r="H7" i="1" s="1"/>
  <c r="F7" i="1"/>
  <c r="AI6" i="1"/>
  <c r="AH6" i="1"/>
  <c r="O6" i="1"/>
  <c r="G6" i="1"/>
  <c r="H6" i="1" s="1"/>
  <c r="AI5" i="1"/>
  <c r="AH5" i="1"/>
  <c r="O5" i="1"/>
  <c r="G5" i="1"/>
  <c r="H5" i="1" s="1"/>
  <c r="F5" i="1"/>
  <c r="A5" i="1"/>
  <c r="A6" i="1" s="1"/>
  <c r="AI4" i="1"/>
  <c r="AH4" i="1"/>
  <c r="G4" i="1"/>
  <c r="H4" i="1" s="1"/>
  <c r="F4" i="1"/>
  <c r="Z1" i="1"/>
  <c r="F1" i="1"/>
  <c r="B1" i="1"/>
  <c r="AF54" i="5" l="1"/>
  <c r="M54" i="5"/>
  <c r="L54" i="5"/>
  <c r="AF53" i="5"/>
  <c r="M53" i="5"/>
  <c r="L53" i="5"/>
  <c r="AF52" i="5"/>
  <c r="M52" i="5"/>
  <c r="L52" i="5"/>
  <c r="AF51" i="5"/>
  <c r="M51" i="5"/>
  <c r="L51" i="5"/>
  <c r="AF50" i="5"/>
  <c r="M50" i="5"/>
  <c r="L50" i="5"/>
  <c r="AF49" i="5"/>
  <c r="M49" i="5"/>
  <c r="L49" i="5"/>
  <c r="AF48" i="5"/>
  <c r="M48" i="5"/>
  <c r="L48" i="5"/>
  <c r="AF47" i="5"/>
  <c r="M47" i="5"/>
  <c r="L47" i="5"/>
  <c r="AF46" i="5"/>
  <c r="M46" i="5"/>
  <c r="L46" i="5"/>
  <c r="AF45" i="5"/>
  <c r="M45" i="5"/>
  <c r="L45" i="5"/>
  <c r="AF44" i="5"/>
  <c r="M44" i="5"/>
  <c r="L44" i="5"/>
  <c r="AF43" i="5"/>
  <c r="M43" i="5"/>
  <c r="L43" i="5"/>
  <c r="AF42" i="5"/>
  <c r="M42" i="5"/>
  <c r="L42" i="5"/>
  <c r="AF41" i="5"/>
  <c r="M41" i="5"/>
  <c r="L41" i="5"/>
  <c r="AF40" i="5"/>
  <c r="M40" i="5"/>
  <c r="L40" i="5"/>
  <c r="AF39" i="5"/>
  <c r="M39" i="5"/>
  <c r="L39" i="5"/>
  <c r="AF38" i="5"/>
  <c r="M38" i="5"/>
  <c r="L38" i="5"/>
  <c r="AF37" i="5"/>
  <c r="M37" i="5"/>
  <c r="L37" i="5"/>
  <c r="AF36" i="5"/>
  <c r="M36" i="5"/>
  <c r="L36" i="5"/>
  <c r="AF35" i="5"/>
  <c r="M35" i="5"/>
  <c r="L35" i="5"/>
  <c r="AF34" i="5"/>
  <c r="M34" i="5"/>
  <c r="L34" i="5"/>
  <c r="AF33" i="5"/>
  <c r="M33" i="5"/>
  <c r="L33" i="5"/>
  <c r="AF32" i="5"/>
  <c r="M32" i="5"/>
  <c r="L32" i="5"/>
  <c r="AF31" i="5"/>
  <c r="M31" i="5"/>
  <c r="L31" i="5"/>
  <c r="AF30" i="5"/>
  <c r="M30" i="5"/>
  <c r="L30" i="5"/>
  <c r="AF29" i="5"/>
  <c r="M29" i="5"/>
  <c r="L29" i="5"/>
  <c r="AF28" i="5"/>
  <c r="M28" i="5"/>
  <c r="L28" i="5"/>
  <c r="AF27" i="5"/>
  <c r="M27" i="5"/>
  <c r="L27" i="5"/>
  <c r="AF26" i="5"/>
  <c r="M26" i="5"/>
  <c r="L26" i="5"/>
  <c r="AF25" i="5"/>
  <c r="M25" i="5"/>
  <c r="L25" i="5"/>
  <c r="AF24" i="5"/>
  <c r="M24" i="5"/>
  <c r="L24" i="5"/>
  <c r="AF23" i="5"/>
  <c r="M23" i="5"/>
  <c r="L23" i="5"/>
  <c r="AF22" i="5"/>
  <c r="M22" i="5"/>
  <c r="L22" i="5"/>
  <c r="AF21" i="5"/>
  <c r="M21" i="5"/>
  <c r="L21" i="5"/>
  <c r="AF20" i="5"/>
  <c r="M20" i="5"/>
  <c r="L20" i="5"/>
  <c r="M19" i="5"/>
  <c r="L19" i="5"/>
  <c r="AF18" i="5"/>
  <c r="M18" i="5"/>
  <c r="L18" i="5"/>
  <c r="AF17" i="5"/>
  <c r="M17" i="5"/>
  <c r="L17" i="5"/>
  <c r="AF16" i="5"/>
  <c r="M16" i="5"/>
  <c r="L16" i="5"/>
  <c r="AF15" i="5"/>
  <c r="M15" i="5"/>
  <c r="L15" i="5"/>
  <c r="AF14" i="5"/>
  <c r="M14" i="5"/>
  <c r="L14" i="5"/>
  <c r="AF13" i="5"/>
  <c r="M13" i="5"/>
  <c r="L13" i="5"/>
  <c r="AF12" i="5"/>
  <c r="M12" i="5"/>
  <c r="L12" i="5"/>
  <c r="AF11" i="5"/>
  <c r="M11" i="5"/>
  <c r="L11" i="5"/>
  <c r="AF10" i="5"/>
  <c r="M10" i="5"/>
  <c r="L10" i="5"/>
  <c r="AF9" i="5"/>
  <c r="M9" i="5"/>
  <c r="L9" i="5"/>
  <c r="AF8" i="5"/>
  <c r="M8" i="5"/>
  <c r="L8" i="5"/>
  <c r="AF7" i="5"/>
  <c r="M7" i="5"/>
  <c r="L7" i="5"/>
  <c r="AF6" i="5"/>
  <c r="L6" i="5"/>
  <c r="G24" i="4"/>
  <c r="F24" i="4"/>
  <c r="H24" i="4" s="1"/>
  <c r="G23" i="4"/>
  <c r="F23" i="4"/>
  <c r="H23" i="4" s="1"/>
  <c r="G22" i="4"/>
  <c r="F22" i="4"/>
  <c r="H22" i="4" s="1"/>
  <c r="G21" i="4"/>
  <c r="F21" i="4"/>
  <c r="H21" i="4" s="1"/>
  <c r="G20" i="4"/>
  <c r="F20" i="4"/>
  <c r="H20" i="4" s="1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G15" i="4"/>
  <c r="F15" i="4"/>
  <c r="H15" i="4" s="1"/>
  <c r="G14" i="4"/>
  <c r="F14" i="4"/>
  <c r="H14" i="4" s="1"/>
  <c r="G13" i="4"/>
  <c r="F13" i="4"/>
  <c r="H13" i="4" s="1"/>
  <c r="G12" i="4"/>
  <c r="F12" i="4"/>
  <c r="H12" i="4" s="1"/>
  <c r="G11" i="4"/>
  <c r="F11" i="4"/>
  <c r="H11" i="4" s="1"/>
  <c r="G10" i="4"/>
  <c r="F10" i="4"/>
  <c r="H10" i="4" s="1"/>
  <c r="G9" i="4"/>
  <c r="F9" i="4"/>
  <c r="H9" i="4" s="1"/>
  <c r="G8" i="4"/>
  <c r="F8" i="4"/>
  <c r="H8" i="4" s="1"/>
  <c r="G7" i="4"/>
  <c r="F7" i="4"/>
  <c r="H7" i="4" s="1"/>
  <c r="G6" i="4"/>
  <c r="F6" i="4"/>
  <c r="H6" i="4" s="1"/>
  <c r="I5" i="4"/>
  <c r="J5" i="4"/>
  <c r="K5" i="4" s="1"/>
  <c r="L5" i="4" s="1"/>
  <c r="M5" i="4" s="1"/>
  <c r="AD56" i="3"/>
  <c r="L56" i="3"/>
  <c r="K56" i="3"/>
  <c r="AD55" i="3"/>
  <c r="L55" i="3"/>
  <c r="K55" i="3"/>
  <c r="AD54" i="3"/>
  <c r="L54" i="3"/>
  <c r="K54" i="3"/>
  <c r="AD53" i="3"/>
  <c r="L53" i="3"/>
  <c r="K53" i="3"/>
  <c r="AD52" i="3"/>
  <c r="L52" i="3"/>
  <c r="K52" i="3"/>
  <c r="AD51" i="3"/>
  <c r="L51" i="3"/>
  <c r="K51" i="3"/>
  <c r="AD50" i="3"/>
  <c r="L50" i="3"/>
  <c r="K50" i="3"/>
  <c r="AD49" i="3"/>
  <c r="L49" i="3"/>
  <c r="K49" i="3"/>
  <c r="AD48" i="3"/>
  <c r="L48" i="3"/>
  <c r="K48" i="3"/>
  <c r="AD47" i="3"/>
  <c r="L47" i="3"/>
  <c r="K47" i="3"/>
  <c r="AD46" i="3"/>
  <c r="L46" i="3"/>
  <c r="K46" i="3"/>
  <c r="AD45" i="3"/>
  <c r="L45" i="3"/>
  <c r="K45" i="3"/>
  <c r="AD44" i="3"/>
  <c r="L44" i="3"/>
  <c r="K44" i="3"/>
  <c r="AD43" i="3"/>
  <c r="L43" i="3"/>
  <c r="K43" i="3"/>
  <c r="AD42" i="3"/>
  <c r="L42" i="3"/>
  <c r="K42" i="3"/>
  <c r="R41" i="3"/>
  <c r="AD40" i="3"/>
  <c r="L40" i="3"/>
  <c r="K40" i="3"/>
  <c r="AD39" i="3"/>
  <c r="L39" i="3"/>
  <c r="K39" i="3"/>
  <c r="AD38" i="3"/>
  <c r="L38" i="3"/>
  <c r="K38" i="3"/>
  <c r="AD37" i="3"/>
  <c r="L37" i="3"/>
  <c r="K37" i="3"/>
  <c r="AD36" i="3"/>
  <c r="L36" i="3"/>
  <c r="K36" i="3"/>
  <c r="AD35" i="3"/>
  <c r="L35" i="3"/>
  <c r="K35" i="3"/>
  <c r="AD34" i="3"/>
  <c r="L34" i="3"/>
  <c r="K34" i="3"/>
  <c r="AD33" i="3"/>
  <c r="L33" i="3"/>
  <c r="K33" i="3"/>
  <c r="AD32" i="3"/>
  <c r="L32" i="3"/>
  <c r="K32" i="3"/>
  <c r="AD31" i="3"/>
  <c r="L31" i="3"/>
  <c r="K31" i="3"/>
  <c r="AD30" i="3"/>
  <c r="L30" i="3"/>
  <c r="K30" i="3"/>
  <c r="AD29" i="3"/>
  <c r="L29" i="3"/>
  <c r="K29" i="3"/>
  <c r="AD28" i="3"/>
  <c r="L28" i="3"/>
  <c r="K28" i="3"/>
  <c r="AD27" i="3"/>
  <c r="L27" i="3"/>
  <c r="K27" i="3"/>
  <c r="AD26" i="3"/>
  <c r="L26" i="3"/>
  <c r="K26" i="3"/>
  <c r="AD25" i="3"/>
  <c r="L25" i="3"/>
  <c r="K25" i="3"/>
  <c r="AD24" i="3"/>
  <c r="L24" i="3"/>
  <c r="K24" i="3"/>
  <c r="AD23" i="3"/>
  <c r="L23" i="3"/>
  <c r="K23" i="3"/>
  <c r="AD22" i="3"/>
  <c r="L22" i="3"/>
  <c r="K22" i="3"/>
  <c r="AD21" i="3"/>
  <c r="L21" i="3"/>
  <c r="K21" i="3"/>
  <c r="AD20" i="3"/>
  <c r="L20" i="3"/>
  <c r="K20" i="3"/>
  <c r="AD19" i="3"/>
  <c r="L19" i="3"/>
  <c r="K19" i="3"/>
  <c r="AD18" i="3"/>
  <c r="L18" i="3"/>
  <c r="K18" i="3"/>
  <c r="AD17" i="3"/>
  <c r="L17" i="3"/>
  <c r="K17" i="3"/>
  <c r="AD16" i="3"/>
  <c r="L16" i="3"/>
  <c r="K16" i="3"/>
  <c r="AD15" i="3"/>
  <c r="L15" i="3"/>
  <c r="K15" i="3"/>
  <c r="AD14" i="3"/>
  <c r="L14" i="3"/>
  <c r="K14" i="3"/>
  <c r="AD13" i="3"/>
  <c r="L13" i="3"/>
  <c r="K13" i="3"/>
  <c r="AD12" i="3"/>
  <c r="L12" i="3"/>
  <c r="K12" i="3"/>
  <c r="AD11" i="3"/>
  <c r="L11" i="3"/>
  <c r="K11" i="3"/>
  <c r="AD10" i="3"/>
  <c r="L10" i="3"/>
  <c r="K10" i="3"/>
  <c r="AD9" i="3"/>
  <c r="L9" i="3"/>
  <c r="K9" i="3"/>
  <c r="AD8" i="3"/>
  <c r="L8" i="3"/>
  <c r="K8" i="3"/>
  <c r="AD7" i="3"/>
  <c r="L7" i="3"/>
  <c r="K5" i="3" s="1"/>
  <c r="L5" i="3" s="1"/>
  <c r="K7" i="3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F4" i="2"/>
  <c r="F5" i="2"/>
  <c r="F6" i="2"/>
  <c r="D7" i="2"/>
  <c r="F7" i="2"/>
  <c r="D8" i="2"/>
  <c r="F8" i="2"/>
  <c r="D9" i="2"/>
  <c r="F9" i="2"/>
  <c r="F11" i="2"/>
  <c r="F12" i="2"/>
  <c r="F13" i="2"/>
  <c r="F14" i="2"/>
  <c r="F15" i="2"/>
  <c r="F16" i="2"/>
  <c r="D17" i="2"/>
  <c r="F18" i="2"/>
  <c r="D18" i="2"/>
  <c r="F17" i="2"/>
  <c r="N34" i="1"/>
  <c r="N33" i="1"/>
  <c r="N31" i="1"/>
  <c r="N30" i="1"/>
  <c r="N29" i="1"/>
  <c r="N28" i="1"/>
  <c r="N27" i="1"/>
  <c r="N26" i="1"/>
  <c r="N25" i="1"/>
  <c r="N24" i="1"/>
  <c r="N23" i="1"/>
  <c r="N44" i="1"/>
  <c r="N53" i="1"/>
  <c r="N21" i="1"/>
  <c r="N52" i="1"/>
  <c r="N20" i="1"/>
  <c r="N51" i="1"/>
  <c r="N19" i="1"/>
  <c r="N50" i="1"/>
  <c r="N18" i="1"/>
  <c r="N22" i="1"/>
  <c r="N17" i="1"/>
  <c r="N49" i="1"/>
  <c r="N16" i="1"/>
  <c r="N48" i="1"/>
  <c r="N15" i="1"/>
  <c r="N47" i="1"/>
  <c r="N14" i="1"/>
  <c r="N46" i="1"/>
  <c r="N13" i="1"/>
  <c r="N45" i="1"/>
  <c r="N43" i="1"/>
  <c r="N42" i="1"/>
  <c r="N11" i="1"/>
  <c r="N41" i="1"/>
  <c r="N10" i="1"/>
  <c r="N40" i="1"/>
  <c r="N9" i="1"/>
  <c r="N39" i="1"/>
  <c r="N8" i="1"/>
  <c r="N12" i="1"/>
  <c r="N7" i="1"/>
  <c r="N38" i="1"/>
  <c r="N6" i="1"/>
  <c r="N37" i="1"/>
  <c r="N36" i="1"/>
  <c r="N5" i="1"/>
  <c r="N35" i="1"/>
  <c r="N4" i="1"/>
  <c r="N32" i="1"/>
  <c r="S54" i="5" l="1"/>
  <c r="V54" i="5" s="1"/>
  <c r="S53" i="5"/>
  <c r="V53" i="5" s="1"/>
  <c r="S52" i="5"/>
  <c r="V52" i="5" s="1"/>
  <c r="S51" i="5"/>
  <c r="V51" i="5" s="1"/>
  <c r="S50" i="5"/>
  <c r="V50" i="5" s="1"/>
  <c r="S49" i="5"/>
  <c r="V49" i="5" s="1"/>
  <c r="S48" i="5"/>
  <c r="V48" i="5" s="1"/>
  <c r="S47" i="5"/>
  <c r="V47" i="5" s="1"/>
  <c r="S46" i="5"/>
  <c r="V46" i="5" s="1"/>
  <c r="S45" i="5"/>
  <c r="V45" i="5" s="1"/>
  <c r="S44" i="5"/>
  <c r="V44" i="5" s="1"/>
  <c r="S43" i="5"/>
  <c r="V43" i="5" s="1"/>
  <c r="S42" i="5"/>
  <c r="V42" i="5" s="1"/>
  <c r="S41" i="5"/>
  <c r="V41" i="5" s="1"/>
  <c r="S40" i="5"/>
  <c r="V40" i="5" s="1"/>
  <c r="S39" i="5"/>
  <c r="V39" i="5" s="1"/>
  <c r="S38" i="5"/>
  <c r="V38" i="5" s="1"/>
  <c r="S37" i="5"/>
  <c r="V37" i="5" s="1"/>
  <c r="S36" i="5"/>
  <c r="V36" i="5" s="1"/>
  <c r="S35" i="5"/>
  <c r="V35" i="5" s="1"/>
  <c r="S34" i="5"/>
  <c r="V34" i="5" s="1"/>
  <c r="S33" i="5"/>
  <c r="V33" i="5" s="1"/>
  <c r="S32" i="5"/>
  <c r="V32" i="5" s="1"/>
  <c r="S31" i="5"/>
  <c r="V31" i="5" s="1"/>
  <c r="S30" i="5"/>
  <c r="V30" i="5" s="1"/>
  <c r="S29" i="5"/>
  <c r="V29" i="5" s="1"/>
  <c r="S28" i="5"/>
  <c r="V28" i="5" s="1"/>
  <c r="S27" i="5"/>
  <c r="V27" i="5" s="1"/>
  <c r="S26" i="5"/>
  <c r="V26" i="5" s="1"/>
  <c r="S25" i="5"/>
  <c r="V25" i="5" s="1"/>
  <c r="S24" i="5"/>
  <c r="V24" i="5" s="1"/>
  <c r="S23" i="5"/>
  <c r="V23" i="5" s="1"/>
  <c r="S22" i="5"/>
  <c r="V22" i="5" s="1"/>
  <c r="S21" i="5"/>
  <c r="V21" i="5" s="1"/>
  <c r="S20" i="5"/>
  <c r="V20" i="5" s="1"/>
  <c r="S19" i="5"/>
  <c r="V19" i="5" s="1"/>
  <c r="S18" i="5"/>
  <c r="V18" i="5" s="1"/>
  <c r="S17" i="5"/>
  <c r="V17" i="5" s="1"/>
  <c r="S16" i="5"/>
  <c r="V16" i="5" s="1"/>
  <c r="S15" i="5"/>
  <c r="V15" i="5" s="1"/>
  <c r="S14" i="5"/>
  <c r="V14" i="5" s="1"/>
  <c r="S13" i="5"/>
  <c r="V13" i="5" s="1"/>
  <c r="S12" i="5"/>
  <c r="V12" i="5" s="1"/>
  <c r="S11" i="5"/>
  <c r="V11" i="5" s="1"/>
  <c r="S10" i="5"/>
  <c r="V10" i="5" s="1"/>
  <c r="S9" i="5"/>
  <c r="V9" i="5" s="1"/>
  <c r="S8" i="5"/>
  <c r="V8" i="5" s="1"/>
  <c r="S7" i="5"/>
  <c r="V7" i="5" s="1"/>
  <c r="M6" i="5"/>
  <c r="S6" i="5"/>
  <c r="V6" i="5" s="1"/>
  <c r="I24" i="4"/>
  <c r="J24" i="4"/>
  <c r="K24" i="4" s="1"/>
  <c r="L24" i="4" s="1"/>
  <c r="I23" i="4"/>
  <c r="J23" i="4"/>
  <c r="K23" i="4" s="1"/>
  <c r="L23" i="4" s="1"/>
  <c r="I22" i="4"/>
  <c r="J22" i="4"/>
  <c r="K22" i="4" s="1"/>
  <c r="L22" i="4" s="1"/>
  <c r="I21" i="4"/>
  <c r="J21" i="4"/>
  <c r="K21" i="4" s="1"/>
  <c r="L21" i="4" s="1"/>
  <c r="I20" i="4"/>
  <c r="J20" i="4"/>
  <c r="K20" i="4" s="1"/>
  <c r="L20" i="4" s="1"/>
  <c r="I19" i="4"/>
  <c r="J19" i="4"/>
  <c r="K19" i="4" s="1"/>
  <c r="L19" i="4" s="1"/>
  <c r="I18" i="4"/>
  <c r="J18" i="4"/>
  <c r="K18" i="4" s="1"/>
  <c r="L18" i="4" s="1"/>
  <c r="I17" i="4"/>
  <c r="J17" i="4" s="1"/>
  <c r="K17" i="4" s="1"/>
  <c r="L17" i="4" s="1"/>
  <c r="I16" i="4"/>
  <c r="J16" i="4"/>
  <c r="K16" i="4" s="1"/>
  <c r="L16" i="4" s="1"/>
  <c r="I15" i="4"/>
  <c r="J15" i="4"/>
  <c r="K15" i="4" s="1"/>
  <c r="L15" i="4" s="1"/>
  <c r="I14" i="4"/>
  <c r="J14" i="4"/>
  <c r="K14" i="4" s="1"/>
  <c r="L14" i="4" s="1"/>
  <c r="I13" i="4"/>
  <c r="J13" i="4"/>
  <c r="K13" i="4" s="1"/>
  <c r="L13" i="4" s="1"/>
  <c r="I12" i="4"/>
  <c r="J12" i="4"/>
  <c r="K12" i="4" s="1"/>
  <c r="L12" i="4" s="1"/>
  <c r="I11" i="4"/>
  <c r="J11" i="4"/>
  <c r="K11" i="4" s="1"/>
  <c r="L11" i="4" s="1"/>
  <c r="I10" i="4"/>
  <c r="J10" i="4"/>
  <c r="K10" i="4" s="1"/>
  <c r="L10" i="4" s="1"/>
  <c r="I9" i="4"/>
  <c r="J9" i="4"/>
  <c r="K9" i="4" s="1"/>
  <c r="L9" i="4" s="1"/>
  <c r="I8" i="4"/>
  <c r="J8" i="4"/>
  <c r="K8" i="4" s="1"/>
  <c r="L8" i="4" s="1"/>
  <c r="I7" i="4"/>
  <c r="J7" i="4"/>
  <c r="K7" i="4" s="1"/>
  <c r="L7" i="4" s="1"/>
  <c r="I6" i="4"/>
  <c r="J6" i="4"/>
  <c r="K6" i="4" s="1"/>
  <c r="L6" i="4" s="1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S41" i="3"/>
  <c r="T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D4" i="2"/>
  <c r="Q34" i="1"/>
  <c r="AA34" i="1" s="1"/>
  <c r="I34" i="1"/>
  <c r="J34" i="1"/>
  <c r="K34" i="1"/>
  <c r="L34" i="1"/>
  <c r="M34" i="1"/>
  <c r="Q33" i="1"/>
  <c r="AA33" i="1" s="1"/>
  <c r="I33" i="1"/>
  <c r="J33" i="1"/>
  <c r="K33" i="1"/>
  <c r="L33" i="1"/>
  <c r="M33" i="1"/>
  <c r="Q31" i="1"/>
  <c r="AA31" i="1" s="1"/>
  <c r="I31" i="1"/>
  <c r="J31" i="1"/>
  <c r="K31" i="1"/>
  <c r="L31" i="1"/>
  <c r="M31" i="1"/>
  <c r="Q30" i="1"/>
  <c r="AA30" i="1" s="1"/>
  <c r="I30" i="1"/>
  <c r="J30" i="1"/>
  <c r="K30" i="1"/>
  <c r="L30" i="1"/>
  <c r="M30" i="1"/>
  <c r="Q29" i="1"/>
  <c r="AA29" i="1" s="1"/>
  <c r="I29" i="1"/>
  <c r="J29" i="1"/>
  <c r="K29" i="1"/>
  <c r="L29" i="1"/>
  <c r="M29" i="1"/>
  <c r="Q28" i="1"/>
  <c r="AA28" i="1" s="1"/>
  <c r="I28" i="1"/>
  <c r="J28" i="1"/>
  <c r="K28" i="1"/>
  <c r="L28" i="1"/>
  <c r="M28" i="1"/>
  <c r="Q27" i="1"/>
  <c r="AA27" i="1" s="1"/>
  <c r="I27" i="1"/>
  <c r="J27" i="1"/>
  <c r="K27" i="1"/>
  <c r="L27" i="1"/>
  <c r="M27" i="1"/>
  <c r="Q26" i="1"/>
  <c r="AA26" i="1" s="1"/>
  <c r="I26" i="1"/>
  <c r="J26" i="1"/>
  <c r="K26" i="1"/>
  <c r="L26" i="1"/>
  <c r="M26" i="1"/>
  <c r="Q25" i="1"/>
  <c r="AA25" i="1" s="1"/>
  <c r="I25" i="1"/>
  <c r="J25" i="1"/>
  <c r="K25" i="1"/>
  <c r="L25" i="1"/>
  <c r="M25" i="1"/>
  <c r="Q24" i="1"/>
  <c r="AA24" i="1" s="1"/>
  <c r="I24" i="1"/>
  <c r="J24" i="1"/>
  <c r="K24" i="1"/>
  <c r="L24" i="1"/>
  <c r="M24" i="1"/>
  <c r="Q23" i="1"/>
  <c r="AA23" i="1" s="1"/>
  <c r="I23" i="1"/>
  <c r="J23" i="1"/>
  <c r="K23" i="1"/>
  <c r="L23" i="1"/>
  <c r="M23" i="1"/>
  <c r="Q44" i="1"/>
  <c r="AA44" i="1" s="1"/>
  <c r="I44" i="1"/>
  <c r="J44" i="1"/>
  <c r="K44" i="1"/>
  <c r="L44" i="1"/>
  <c r="M44" i="1"/>
  <c r="Q53" i="1"/>
  <c r="AA53" i="1" s="1"/>
  <c r="I53" i="1"/>
  <c r="J53" i="1"/>
  <c r="K53" i="1"/>
  <c r="L53" i="1"/>
  <c r="M53" i="1"/>
  <c r="Q21" i="1"/>
  <c r="AA21" i="1" s="1"/>
  <c r="I21" i="1"/>
  <c r="J21" i="1"/>
  <c r="K21" i="1"/>
  <c r="L21" i="1"/>
  <c r="M21" i="1"/>
  <c r="Q52" i="1"/>
  <c r="AA52" i="1" s="1"/>
  <c r="I52" i="1"/>
  <c r="J52" i="1"/>
  <c r="K52" i="1"/>
  <c r="L52" i="1"/>
  <c r="M52" i="1"/>
  <c r="Q20" i="1"/>
  <c r="AA20" i="1" s="1"/>
  <c r="I20" i="1"/>
  <c r="J20" i="1"/>
  <c r="K20" i="1"/>
  <c r="L20" i="1"/>
  <c r="M20" i="1"/>
  <c r="Q51" i="1"/>
  <c r="AA51" i="1" s="1"/>
  <c r="I51" i="1"/>
  <c r="J51" i="1"/>
  <c r="K51" i="1"/>
  <c r="L51" i="1"/>
  <c r="M51" i="1"/>
  <c r="Q19" i="1"/>
  <c r="AA19" i="1" s="1"/>
  <c r="I19" i="1"/>
  <c r="J19" i="1"/>
  <c r="K19" i="1"/>
  <c r="L19" i="1"/>
  <c r="M19" i="1"/>
  <c r="Q50" i="1"/>
  <c r="AA50" i="1" s="1"/>
  <c r="I50" i="1"/>
  <c r="J50" i="1"/>
  <c r="K50" i="1"/>
  <c r="L50" i="1"/>
  <c r="M50" i="1"/>
  <c r="Q18" i="1"/>
  <c r="AA18" i="1" s="1"/>
  <c r="I18" i="1"/>
  <c r="J18" i="1"/>
  <c r="K18" i="1"/>
  <c r="L18" i="1"/>
  <c r="M18" i="1"/>
  <c r="Q22" i="1"/>
  <c r="AA22" i="1" s="1"/>
  <c r="I22" i="1"/>
  <c r="J22" i="1"/>
  <c r="K22" i="1"/>
  <c r="L22" i="1"/>
  <c r="M22" i="1"/>
  <c r="Q17" i="1"/>
  <c r="AA17" i="1" s="1"/>
  <c r="I17" i="1"/>
  <c r="J17" i="1"/>
  <c r="K17" i="1"/>
  <c r="L17" i="1"/>
  <c r="M17" i="1"/>
  <c r="Q49" i="1"/>
  <c r="AA49" i="1" s="1"/>
  <c r="I49" i="1"/>
  <c r="J49" i="1"/>
  <c r="K49" i="1"/>
  <c r="L49" i="1"/>
  <c r="M49" i="1"/>
  <c r="Q16" i="1"/>
  <c r="AA16" i="1" s="1"/>
  <c r="I16" i="1"/>
  <c r="J16" i="1"/>
  <c r="K16" i="1"/>
  <c r="L16" i="1"/>
  <c r="M16" i="1"/>
  <c r="Q48" i="1"/>
  <c r="AA48" i="1" s="1"/>
  <c r="I48" i="1"/>
  <c r="J48" i="1"/>
  <c r="K48" i="1"/>
  <c r="L48" i="1"/>
  <c r="M48" i="1"/>
  <c r="Q15" i="1"/>
  <c r="AA15" i="1" s="1"/>
  <c r="I15" i="1"/>
  <c r="J15" i="1"/>
  <c r="K15" i="1"/>
  <c r="L15" i="1"/>
  <c r="M15" i="1"/>
  <c r="Q47" i="1"/>
  <c r="AA47" i="1" s="1"/>
  <c r="I47" i="1"/>
  <c r="J47" i="1"/>
  <c r="K47" i="1"/>
  <c r="L47" i="1"/>
  <c r="M47" i="1"/>
  <c r="Q14" i="1"/>
  <c r="AA14" i="1" s="1"/>
  <c r="I14" i="1"/>
  <c r="J14" i="1"/>
  <c r="K14" i="1"/>
  <c r="L14" i="1"/>
  <c r="M14" i="1"/>
  <c r="Q46" i="1"/>
  <c r="AA46" i="1" s="1"/>
  <c r="I46" i="1"/>
  <c r="J46" i="1"/>
  <c r="K46" i="1"/>
  <c r="L46" i="1"/>
  <c r="M46" i="1"/>
  <c r="Q13" i="1"/>
  <c r="AA13" i="1" s="1"/>
  <c r="I13" i="1"/>
  <c r="J13" i="1"/>
  <c r="K13" i="1"/>
  <c r="L13" i="1"/>
  <c r="M13" i="1"/>
  <c r="Q45" i="1"/>
  <c r="AA45" i="1" s="1"/>
  <c r="I45" i="1"/>
  <c r="J45" i="1"/>
  <c r="K45" i="1"/>
  <c r="L45" i="1"/>
  <c r="M45" i="1"/>
  <c r="Q43" i="1"/>
  <c r="AA43" i="1" s="1"/>
  <c r="I43" i="1"/>
  <c r="J43" i="1"/>
  <c r="K43" i="1"/>
  <c r="L43" i="1"/>
  <c r="M43" i="1"/>
  <c r="Q42" i="1"/>
  <c r="AA42" i="1" s="1"/>
  <c r="I42" i="1"/>
  <c r="J42" i="1"/>
  <c r="K42" i="1"/>
  <c r="L42" i="1"/>
  <c r="M42" i="1"/>
  <c r="Q11" i="1"/>
  <c r="AA11" i="1" s="1"/>
  <c r="I11" i="1"/>
  <c r="J11" i="1"/>
  <c r="K11" i="1"/>
  <c r="L11" i="1"/>
  <c r="M11" i="1"/>
  <c r="Q41" i="1"/>
  <c r="AA41" i="1" s="1"/>
  <c r="I41" i="1"/>
  <c r="J41" i="1"/>
  <c r="K41" i="1"/>
  <c r="L41" i="1"/>
  <c r="M41" i="1"/>
  <c r="Q10" i="1"/>
  <c r="AA10" i="1" s="1"/>
  <c r="I10" i="1"/>
  <c r="J10" i="1"/>
  <c r="K10" i="1"/>
  <c r="L10" i="1"/>
  <c r="M10" i="1"/>
  <c r="Q40" i="1"/>
  <c r="AA40" i="1" s="1"/>
  <c r="I40" i="1"/>
  <c r="J40" i="1"/>
  <c r="K40" i="1"/>
  <c r="L40" i="1"/>
  <c r="M40" i="1"/>
  <c r="Q9" i="1"/>
  <c r="AA9" i="1" s="1"/>
  <c r="I9" i="1"/>
  <c r="D11" i="2" s="1"/>
  <c r="J9" i="1"/>
  <c r="D12" i="2" s="1"/>
  <c r="K9" i="1"/>
  <c r="D13" i="2" s="1"/>
  <c r="L9" i="1"/>
  <c r="D14" i="2" s="1"/>
  <c r="M9" i="1"/>
  <c r="D15" i="2" s="1"/>
  <c r="Q39" i="1"/>
  <c r="AA39" i="1" s="1"/>
  <c r="I39" i="1"/>
  <c r="J39" i="1"/>
  <c r="K39" i="1"/>
  <c r="L39" i="1"/>
  <c r="M39" i="1"/>
  <c r="Q8" i="1"/>
  <c r="I8" i="1"/>
  <c r="R8" i="1" s="1"/>
  <c r="Z8" i="1" s="1"/>
  <c r="J8" i="1"/>
  <c r="K8" i="1"/>
  <c r="L8" i="1"/>
  <c r="M8" i="1"/>
  <c r="Q12" i="1"/>
  <c r="AA12" i="1" s="1"/>
  <c r="I12" i="1"/>
  <c r="J12" i="1"/>
  <c r="K12" i="1"/>
  <c r="L12" i="1"/>
  <c r="M12" i="1"/>
  <c r="Q7" i="1"/>
  <c r="I7" i="1"/>
  <c r="J7" i="1"/>
  <c r="K7" i="1"/>
  <c r="L7" i="1"/>
  <c r="M7" i="1"/>
  <c r="Q38" i="1"/>
  <c r="AA38" i="1" s="1"/>
  <c r="I38" i="1"/>
  <c r="J38" i="1"/>
  <c r="K38" i="1"/>
  <c r="L38" i="1"/>
  <c r="M38" i="1"/>
  <c r="Q6" i="1"/>
  <c r="I6" i="1"/>
  <c r="J6" i="1"/>
  <c r="K6" i="1"/>
  <c r="L6" i="1"/>
  <c r="M6" i="1"/>
  <c r="Q37" i="1"/>
  <c r="AA37" i="1" s="1"/>
  <c r="I37" i="1"/>
  <c r="J37" i="1"/>
  <c r="K37" i="1"/>
  <c r="L37" i="1"/>
  <c r="M37" i="1"/>
  <c r="Q36" i="1"/>
  <c r="AA36" i="1" s="1"/>
  <c r="I36" i="1"/>
  <c r="J36" i="1"/>
  <c r="K36" i="1"/>
  <c r="L36" i="1"/>
  <c r="M36" i="1"/>
  <c r="Q5" i="1"/>
  <c r="I5" i="1"/>
  <c r="J5" i="1"/>
  <c r="K5" i="1"/>
  <c r="L5" i="1"/>
  <c r="M5" i="1"/>
  <c r="Q35" i="1"/>
  <c r="AA35" i="1" s="1"/>
  <c r="I35" i="1"/>
  <c r="J35" i="1"/>
  <c r="K35" i="1"/>
  <c r="L35" i="1"/>
  <c r="M35" i="1"/>
  <c r="Q4" i="1"/>
  <c r="N55" i="1"/>
  <c r="I4" i="1"/>
  <c r="J4" i="1"/>
  <c r="K4" i="1"/>
  <c r="L4" i="1"/>
  <c r="M4" i="1"/>
  <c r="Q32" i="1"/>
  <c r="AA32" i="1" s="1"/>
  <c r="I32" i="1"/>
  <c r="J32" i="1"/>
  <c r="K32" i="1"/>
  <c r="L32" i="1"/>
  <c r="M32" i="1"/>
  <c r="F19" i="2"/>
  <c r="D16" i="2" l="1"/>
  <c r="D19" i="2" s="1"/>
  <c r="C22" i="2" s="1"/>
  <c r="W54" i="5"/>
  <c r="X54" i="5"/>
  <c r="Y54" i="5"/>
  <c r="Z54" i="5"/>
  <c r="AA54" i="5"/>
  <c r="AB54" i="5"/>
  <c r="W53" i="5"/>
  <c r="X53" i="5"/>
  <c r="Y53" i="5"/>
  <c r="Z53" i="5"/>
  <c r="AA53" i="5"/>
  <c r="AB53" i="5"/>
  <c r="W52" i="5"/>
  <c r="X52" i="5"/>
  <c r="Y52" i="5"/>
  <c r="Z52" i="5"/>
  <c r="AA52" i="5"/>
  <c r="AB52" i="5"/>
  <c r="W51" i="5"/>
  <c r="X51" i="5"/>
  <c r="Y51" i="5"/>
  <c r="Z51" i="5"/>
  <c r="AA51" i="5"/>
  <c r="AB51" i="5"/>
  <c r="W50" i="5"/>
  <c r="X50" i="5"/>
  <c r="Y50" i="5"/>
  <c r="Z50" i="5"/>
  <c r="AA50" i="5"/>
  <c r="AB50" i="5"/>
  <c r="W49" i="5"/>
  <c r="X49" i="5"/>
  <c r="Y49" i="5"/>
  <c r="Z49" i="5"/>
  <c r="AA49" i="5"/>
  <c r="AB49" i="5"/>
  <c r="W48" i="5"/>
  <c r="X48" i="5"/>
  <c r="Y48" i="5"/>
  <c r="Z48" i="5"/>
  <c r="AA48" i="5"/>
  <c r="AB48" i="5"/>
  <c r="W47" i="5"/>
  <c r="X47" i="5"/>
  <c r="Y47" i="5"/>
  <c r="Z47" i="5"/>
  <c r="AA47" i="5"/>
  <c r="AB47" i="5"/>
  <c r="W46" i="5"/>
  <c r="X46" i="5"/>
  <c r="Y46" i="5"/>
  <c r="Z46" i="5"/>
  <c r="AA46" i="5"/>
  <c r="AB46" i="5"/>
  <c r="W45" i="5"/>
  <c r="X45" i="5"/>
  <c r="Y45" i="5"/>
  <c r="Z45" i="5"/>
  <c r="AA45" i="5"/>
  <c r="AB45" i="5"/>
  <c r="W44" i="5"/>
  <c r="X44" i="5"/>
  <c r="Y44" i="5"/>
  <c r="Z44" i="5"/>
  <c r="AA44" i="5"/>
  <c r="AB44" i="5"/>
  <c r="W43" i="5"/>
  <c r="X43" i="5"/>
  <c r="Y43" i="5"/>
  <c r="Z43" i="5"/>
  <c r="AA43" i="5"/>
  <c r="AB43" i="5"/>
  <c r="W42" i="5"/>
  <c r="X42" i="5"/>
  <c r="Y42" i="5"/>
  <c r="Z42" i="5"/>
  <c r="AA42" i="5"/>
  <c r="AB42" i="5"/>
  <c r="W41" i="5"/>
  <c r="X41" i="5"/>
  <c r="Y41" i="5"/>
  <c r="Z41" i="5"/>
  <c r="AA41" i="5"/>
  <c r="AB41" i="5"/>
  <c r="W40" i="5"/>
  <c r="X40" i="5"/>
  <c r="Y40" i="5"/>
  <c r="Z40" i="5"/>
  <c r="AA40" i="5"/>
  <c r="AB40" i="5"/>
  <c r="W39" i="5"/>
  <c r="X39" i="5"/>
  <c r="Y39" i="5"/>
  <c r="Z39" i="5"/>
  <c r="AA39" i="5"/>
  <c r="AB39" i="5"/>
  <c r="W38" i="5"/>
  <c r="X38" i="5"/>
  <c r="Y38" i="5"/>
  <c r="Z38" i="5"/>
  <c r="AA38" i="5"/>
  <c r="AB38" i="5"/>
  <c r="W37" i="5"/>
  <c r="X37" i="5"/>
  <c r="Y37" i="5"/>
  <c r="Z37" i="5"/>
  <c r="AA37" i="5"/>
  <c r="AB37" i="5"/>
  <c r="W36" i="5"/>
  <c r="X36" i="5"/>
  <c r="Y36" i="5"/>
  <c r="Z36" i="5"/>
  <c r="AA36" i="5"/>
  <c r="AB36" i="5"/>
  <c r="W35" i="5"/>
  <c r="X35" i="5"/>
  <c r="Y35" i="5"/>
  <c r="Z35" i="5"/>
  <c r="AA35" i="5"/>
  <c r="AB35" i="5"/>
  <c r="W34" i="5"/>
  <c r="X34" i="5"/>
  <c r="Y34" i="5"/>
  <c r="Z34" i="5"/>
  <c r="AA34" i="5"/>
  <c r="AB34" i="5"/>
  <c r="W33" i="5"/>
  <c r="X33" i="5"/>
  <c r="Y33" i="5"/>
  <c r="Z33" i="5"/>
  <c r="AA33" i="5"/>
  <c r="AB33" i="5"/>
  <c r="W32" i="5"/>
  <c r="X32" i="5"/>
  <c r="Y32" i="5"/>
  <c r="Z32" i="5"/>
  <c r="AA32" i="5"/>
  <c r="AB32" i="5"/>
  <c r="W31" i="5"/>
  <c r="X31" i="5"/>
  <c r="Y31" i="5"/>
  <c r="Z31" i="5"/>
  <c r="AA31" i="5"/>
  <c r="AB31" i="5"/>
  <c r="W30" i="5"/>
  <c r="X30" i="5"/>
  <c r="Y30" i="5"/>
  <c r="Z30" i="5"/>
  <c r="AA30" i="5"/>
  <c r="AB30" i="5"/>
  <c r="W29" i="5"/>
  <c r="X29" i="5"/>
  <c r="Y29" i="5"/>
  <c r="Z29" i="5"/>
  <c r="AA29" i="5"/>
  <c r="AB29" i="5"/>
  <c r="W28" i="5"/>
  <c r="X28" i="5"/>
  <c r="Y28" i="5"/>
  <c r="Z28" i="5"/>
  <c r="AA28" i="5"/>
  <c r="AB28" i="5"/>
  <c r="W27" i="5"/>
  <c r="X27" i="5"/>
  <c r="Y27" i="5"/>
  <c r="Z27" i="5"/>
  <c r="AA27" i="5"/>
  <c r="AB27" i="5"/>
  <c r="W26" i="5"/>
  <c r="X26" i="5"/>
  <c r="Y26" i="5"/>
  <c r="Z26" i="5"/>
  <c r="AA26" i="5"/>
  <c r="AB26" i="5"/>
  <c r="W25" i="5"/>
  <c r="X25" i="5"/>
  <c r="Y25" i="5"/>
  <c r="Z25" i="5"/>
  <c r="AA25" i="5"/>
  <c r="AB25" i="5"/>
  <c r="W24" i="5"/>
  <c r="X24" i="5"/>
  <c r="Y24" i="5"/>
  <c r="Z24" i="5"/>
  <c r="AA24" i="5"/>
  <c r="AB24" i="5"/>
  <c r="W23" i="5"/>
  <c r="X23" i="5"/>
  <c r="Y23" i="5"/>
  <c r="Z23" i="5"/>
  <c r="AA23" i="5"/>
  <c r="AB23" i="5"/>
  <c r="W22" i="5"/>
  <c r="X22" i="5"/>
  <c r="Y22" i="5"/>
  <c r="Z22" i="5"/>
  <c r="AA22" i="5"/>
  <c r="AB22" i="5"/>
  <c r="W21" i="5"/>
  <c r="X21" i="5"/>
  <c r="Y21" i="5"/>
  <c r="Z21" i="5"/>
  <c r="AA21" i="5"/>
  <c r="AB21" i="5"/>
  <c r="W20" i="5"/>
  <c r="X20" i="5"/>
  <c r="Y20" i="5"/>
  <c r="Z20" i="5"/>
  <c r="AA20" i="5"/>
  <c r="AB20" i="5"/>
  <c r="W19" i="5"/>
  <c r="X19" i="5"/>
  <c r="Y19" i="5"/>
  <c r="Z19" i="5"/>
  <c r="AA19" i="5"/>
  <c r="AB19" i="5"/>
  <c r="W18" i="5"/>
  <c r="X18" i="5"/>
  <c r="Y18" i="5"/>
  <c r="Z18" i="5"/>
  <c r="AA18" i="5"/>
  <c r="AB18" i="5"/>
  <c r="W17" i="5"/>
  <c r="X17" i="5"/>
  <c r="Y17" i="5"/>
  <c r="Z17" i="5"/>
  <c r="AA17" i="5"/>
  <c r="AB17" i="5"/>
  <c r="W16" i="5"/>
  <c r="X16" i="5"/>
  <c r="Y16" i="5"/>
  <c r="Z16" i="5"/>
  <c r="AA16" i="5"/>
  <c r="AB16" i="5"/>
  <c r="W15" i="5"/>
  <c r="X15" i="5"/>
  <c r="Y15" i="5"/>
  <c r="Z15" i="5"/>
  <c r="AA15" i="5"/>
  <c r="AB15" i="5"/>
  <c r="W14" i="5"/>
  <c r="X14" i="5"/>
  <c r="Y14" i="5"/>
  <c r="Z14" i="5"/>
  <c r="AA14" i="5"/>
  <c r="AB14" i="5"/>
  <c r="W13" i="5"/>
  <c r="X13" i="5"/>
  <c r="Y13" i="5"/>
  <c r="Z13" i="5"/>
  <c r="AA13" i="5"/>
  <c r="AB13" i="5"/>
  <c r="W12" i="5"/>
  <c r="X12" i="5"/>
  <c r="Y12" i="5"/>
  <c r="Z12" i="5"/>
  <c r="AA12" i="5"/>
  <c r="AB12" i="5"/>
  <c r="W11" i="5"/>
  <c r="X11" i="5"/>
  <c r="Y11" i="5"/>
  <c r="Z11" i="5"/>
  <c r="AA11" i="5"/>
  <c r="AB11" i="5"/>
  <c r="W10" i="5"/>
  <c r="X10" i="5"/>
  <c r="Y10" i="5"/>
  <c r="Z10" i="5"/>
  <c r="AA10" i="5"/>
  <c r="AB10" i="5"/>
  <c r="W9" i="5"/>
  <c r="X9" i="5"/>
  <c r="Y9" i="5"/>
  <c r="Z9" i="5"/>
  <c r="AA9" i="5"/>
  <c r="AB9" i="5"/>
  <c r="W8" i="5"/>
  <c r="X8" i="5"/>
  <c r="Y8" i="5"/>
  <c r="Z8" i="5"/>
  <c r="AA8" i="5"/>
  <c r="AB8" i="5"/>
  <c r="W7" i="5"/>
  <c r="X7" i="5"/>
  <c r="Y7" i="5"/>
  <c r="Z7" i="5"/>
  <c r="AA7" i="5"/>
  <c r="AB7" i="5"/>
  <c r="W6" i="5"/>
  <c r="X6" i="5"/>
  <c r="Y6" i="5"/>
  <c r="Z6" i="5"/>
  <c r="AA6" i="5"/>
  <c r="AB6" i="5"/>
  <c r="S56" i="3"/>
  <c r="T56" i="3"/>
  <c r="S55" i="3"/>
  <c r="T55" i="3"/>
  <c r="S54" i="3"/>
  <c r="T54" i="3" s="1"/>
  <c r="S53" i="3"/>
  <c r="T53" i="3" s="1"/>
  <c r="S52" i="3"/>
  <c r="T52" i="3" s="1"/>
  <c r="S51" i="3"/>
  <c r="T51" i="3"/>
  <c r="S50" i="3"/>
  <c r="T50" i="3"/>
  <c r="S49" i="3"/>
  <c r="T49" i="3" s="1"/>
  <c r="S48" i="3"/>
  <c r="T48" i="3" s="1"/>
  <c r="S47" i="3"/>
  <c r="T47" i="3" s="1"/>
  <c r="S46" i="3"/>
  <c r="T46" i="3"/>
  <c r="S45" i="3"/>
  <c r="T45" i="3" s="1"/>
  <c r="S44" i="3"/>
  <c r="T44" i="3" s="1"/>
  <c r="S43" i="3"/>
  <c r="T43" i="3"/>
  <c r="S42" i="3"/>
  <c r="T42" i="3" s="1"/>
  <c r="U41" i="3"/>
  <c r="V41" i="3"/>
  <c r="W41" i="3"/>
  <c r="X41" i="3"/>
  <c r="Y41" i="3"/>
  <c r="Z41" i="3"/>
  <c r="S40" i="3"/>
  <c r="T40" i="3" s="1"/>
  <c r="S39" i="3"/>
  <c r="T39" i="3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/>
  <c r="S12" i="3"/>
  <c r="T12" i="3" s="1"/>
  <c r="S11" i="3"/>
  <c r="T11" i="3" s="1"/>
  <c r="S10" i="3"/>
  <c r="T10" i="3"/>
  <c r="S9" i="3"/>
  <c r="T9" i="3"/>
  <c r="S8" i="3"/>
  <c r="T8" i="3" s="1"/>
  <c r="S7" i="3"/>
  <c r="T7" i="3" s="1"/>
  <c r="Q5" i="3"/>
  <c r="R5" i="3"/>
  <c r="Q55" i="1"/>
  <c r="R4" i="1"/>
  <c r="I55" i="1"/>
  <c r="R5" i="1"/>
  <c r="Z5" i="1" s="1"/>
  <c r="AA5" i="1" s="1"/>
  <c r="K55" i="1"/>
  <c r="M55" i="1"/>
  <c r="AA8" i="1"/>
  <c r="R7" i="1"/>
  <c r="Z7" i="1" s="1"/>
  <c r="AA7" i="1" s="1"/>
  <c r="R6" i="1"/>
  <c r="Z6" i="1" s="1"/>
  <c r="AA6" i="1" s="1"/>
  <c r="J55" i="1"/>
  <c r="L55" i="1"/>
  <c r="U56" i="3" l="1"/>
  <c r="V56" i="3"/>
  <c r="W56" i="3"/>
  <c r="X56" i="3"/>
  <c r="Y56" i="3"/>
  <c r="Z56" i="3"/>
  <c r="U55" i="3"/>
  <c r="V55" i="3"/>
  <c r="W55" i="3"/>
  <c r="X55" i="3"/>
  <c r="Y55" i="3"/>
  <c r="Z55" i="3"/>
  <c r="U54" i="3"/>
  <c r="V54" i="3"/>
  <c r="W54" i="3"/>
  <c r="X54" i="3"/>
  <c r="Y54" i="3"/>
  <c r="Z54" i="3"/>
  <c r="U53" i="3"/>
  <c r="V53" i="3"/>
  <c r="W53" i="3"/>
  <c r="X53" i="3"/>
  <c r="Y53" i="3"/>
  <c r="Z53" i="3"/>
  <c r="U52" i="3"/>
  <c r="V52" i="3"/>
  <c r="W52" i="3"/>
  <c r="X52" i="3"/>
  <c r="Y52" i="3"/>
  <c r="Z52" i="3"/>
  <c r="U51" i="3"/>
  <c r="V51" i="3"/>
  <c r="W51" i="3"/>
  <c r="X51" i="3"/>
  <c r="Y51" i="3"/>
  <c r="Z51" i="3"/>
  <c r="U50" i="3"/>
  <c r="V50" i="3"/>
  <c r="W50" i="3"/>
  <c r="X50" i="3"/>
  <c r="Y50" i="3"/>
  <c r="Z50" i="3"/>
  <c r="U49" i="3"/>
  <c r="V49" i="3"/>
  <c r="W49" i="3"/>
  <c r="X49" i="3"/>
  <c r="Y49" i="3"/>
  <c r="Z49" i="3"/>
  <c r="U48" i="3"/>
  <c r="V48" i="3"/>
  <c r="W48" i="3"/>
  <c r="X48" i="3"/>
  <c r="Y48" i="3"/>
  <c r="Z48" i="3"/>
  <c r="U47" i="3"/>
  <c r="V47" i="3"/>
  <c r="W47" i="3"/>
  <c r="X47" i="3"/>
  <c r="Y47" i="3"/>
  <c r="Z47" i="3"/>
  <c r="U46" i="3"/>
  <c r="V46" i="3"/>
  <c r="W46" i="3"/>
  <c r="X46" i="3"/>
  <c r="Y46" i="3"/>
  <c r="Z46" i="3"/>
  <c r="U45" i="3"/>
  <c r="V45" i="3"/>
  <c r="W45" i="3"/>
  <c r="X45" i="3"/>
  <c r="Y45" i="3"/>
  <c r="Z45" i="3"/>
  <c r="U44" i="3"/>
  <c r="V44" i="3"/>
  <c r="W44" i="3"/>
  <c r="X44" i="3"/>
  <c r="Y44" i="3"/>
  <c r="Z44" i="3"/>
  <c r="U43" i="3"/>
  <c r="V43" i="3"/>
  <c r="W43" i="3"/>
  <c r="X43" i="3"/>
  <c r="Y43" i="3"/>
  <c r="Z43" i="3"/>
  <c r="U42" i="3"/>
  <c r="V42" i="3"/>
  <c r="W42" i="3"/>
  <c r="X42" i="3"/>
  <c r="Y42" i="3"/>
  <c r="Z42" i="3"/>
  <c r="U40" i="3"/>
  <c r="V40" i="3"/>
  <c r="W40" i="3"/>
  <c r="X40" i="3"/>
  <c r="Y40" i="3"/>
  <c r="Z40" i="3"/>
  <c r="U39" i="3"/>
  <c r="V39" i="3"/>
  <c r="W39" i="3"/>
  <c r="X39" i="3"/>
  <c r="Y39" i="3"/>
  <c r="Z39" i="3"/>
  <c r="U38" i="3"/>
  <c r="V38" i="3"/>
  <c r="W38" i="3"/>
  <c r="X38" i="3"/>
  <c r="Y38" i="3"/>
  <c r="Z38" i="3"/>
  <c r="U37" i="3"/>
  <c r="V37" i="3"/>
  <c r="W37" i="3"/>
  <c r="X37" i="3"/>
  <c r="Y37" i="3"/>
  <c r="Z37" i="3"/>
  <c r="U36" i="3"/>
  <c r="V36" i="3"/>
  <c r="W36" i="3"/>
  <c r="X36" i="3"/>
  <c r="Y36" i="3"/>
  <c r="Z36" i="3"/>
  <c r="U35" i="3"/>
  <c r="V35" i="3"/>
  <c r="W35" i="3"/>
  <c r="X35" i="3"/>
  <c r="Y35" i="3"/>
  <c r="Z35" i="3"/>
  <c r="U34" i="3"/>
  <c r="V34" i="3"/>
  <c r="W34" i="3"/>
  <c r="X34" i="3"/>
  <c r="Y34" i="3"/>
  <c r="Z34" i="3"/>
  <c r="U33" i="3"/>
  <c r="V33" i="3"/>
  <c r="W33" i="3"/>
  <c r="X33" i="3"/>
  <c r="Y33" i="3"/>
  <c r="Z33" i="3"/>
  <c r="U32" i="3"/>
  <c r="V32" i="3"/>
  <c r="W32" i="3"/>
  <c r="X32" i="3"/>
  <c r="Y32" i="3"/>
  <c r="Z32" i="3"/>
  <c r="U31" i="3"/>
  <c r="V31" i="3"/>
  <c r="W31" i="3"/>
  <c r="X31" i="3"/>
  <c r="Y31" i="3"/>
  <c r="Z31" i="3"/>
  <c r="U30" i="3"/>
  <c r="V30" i="3"/>
  <c r="W30" i="3"/>
  <c r="X30" i="3"/>
  <c r="Y30" i="3"/>
  <c r="Z30" i="3"/>
  <c r="U29" i="3"/>
  <c r="V29" i="3"/>
  <c r="W29" i="3"/>
  <c r="X29" i="3"/>
  <c r="Y29" i="3"/>
  <c r="Z29" i="3"/>
  <c r="U28" i="3"/>
  <c r="V28" i="3"/>
  <c r="W28" i="3"/>
  <c r="X28" i="3"/>
  <c r="Y28" i="3"/>
  <c r="Z28" i="3"/>
  <c r="U27" i="3"/>
  <c r="V27" i="3"/>
  <c r="W27" i="3"/>
  <c r="X27" i="3"/>
  <c r="Y27" i="3"/>
  <c r="Z27" i="3"/>
  <c r="U26" i="3"/>
  <c r="V26" i="3"/>
  <c r="W26" i="3"/>
  <c r="X26" i="3"/>
  <c r="Y26" i="3"/>
  <c r="Z26" i="3"/>
  <c r="U25" i="3"/>
  <c r="V25" i="3"/>
  <c r="W25" i="3"/>
  <c r="X25" i="3"/>
  <c r="Y25" i="3"/>
  <c r="Z25" i="3"/>
  <c r="U24" i="3"/>
  <c r="V24" i="3"/>
  <c r="W24" i="3"/>
  <c r="X24" i="3"/>
  <c r="Y24" i="3"/>
  <c r="Z24" i="3"/>
  <c r="U23" i="3"/>
  <c r="V23" i="3"/>
  <c r="W23" i="3"/>
  <c r="X23" i="3"/>
  <c r="Y23" i="3"/>
  <c r="Z23" i="3"/>
  <c r="U22" i="3"/>
  <c r="V22" i="3"/>
  <c r="W22" i="3"/>
  <c r="X22" i="3"/>
  <c r="Y22" i="3"/>
  <c r="Z22" i="3"/>
  <c r="U21" i="3"/>
  <c r="V21" i="3"/>
  <c r="W21" i="3"/>
  <c r="X21" i="3"/>
  <c r="Y21" i="3"/>
  <c r="Z21" i="3"/>
  <c r="U20" i="3"/>
  <c r="V20" i="3"/>
  <c r="W20" i="3"/>
  <c r="X20" i="3"/>
  <c r="Y20" i="3"/>
  <c r="Z20" i="3"/>
  <c r="U19" i="3"/>
  <c r="V19" i="3"/>
  <c r="W19" i="3"/>
  <c r="X19" i="3"/>
  <c r="Y19" i="3"/>
  <c r="Z19" i="3"/>
  <c r="U18" i="3"/>
  <c r="V18" i="3"/>
  <c r="W18" i="3"/>
  <c r="X18" i="3"/>
  <c r="Y18" i="3"/>
  <c r="Z18" i="3"/>
  <c r="U17" i="3"/>
  <c r="V17" i="3"/>
  <c r="W17" i="3"/>
  <c r="X17" i="3"/>
  <c r="Y17" i="3"/>
  <c r="Z17" i="3"/>
  <c r="U16" i="3"/>
  <c r="V16" i="3"/>
  <c r="W16" i="3"/>
  <c r="X16" i="3"/>
  <c r="Y16" i="3"/>
  <c r="Z16" i="3"/>
  <c r="U15" i="3"/>
  <c r="V15" i="3"/>
  <c r="W15" i="3"/>
  <c r="X15" i="3"/>
  <c r="Y15" i="3"/>
  <c r="Z15" i="3"/>
  <c r="U14" i="3"/>
  <c r="V14" i="3"/>
  <c r="W14" i="3"/>
  <c r="X14" i="3"/>
  <c r="Y14" i="3"/>
  <c r="Z14" i="3"/>
  <c r="U13" i="3"/>
  <c r="V13" i="3"/>
  <c r="W13" i="3"/>
  <c r="X13" i="3"/>
  <c r="Y13" i="3"/>
  <c r="Z13" i="3"/>
  <c r="U12" i="3"/>
  <c r="V12" i="3"/>
  <c r="W12" i="3"/>
  <c r="X12" i="3"/>
  <c r="Y12" i="3"/>
  <c r="Z12" i="3"/>
  <c r="U11" i="3"/>
  <c r="V11" i="3"/>
  <c r="W11" i="3"/>
  <c r="X11" i="3"/>
  <c r="Y11" i="3"/>
  <c r="Z11" i="3"/>
  <c r="U10" i="3"/>
  <c r="V10" i="3"/>
  <c r="W10" i="3"/>
  <c r="X10" i="3"/>
  <c r="Y10" i="3"/>
  <c r="Z10" i="3"/>
  <c r="U9" i="3"/>
  <c r="V9" i="3"/>
  <c r="W9" i="3"/>
  <c r="X9" i="3"/>
  <c r="Y9" i="3"/>
  <c r="Z9" i="3"/>
  <c r="U8" i="3"/>
  <c r="V8" i="3"/>
  <c r="W8" i="3"/>
  <c r="X8" i="3"/>
  <c r="Y8" i="3"/>
  <c r="Z8" i="3"/>
  <c r="U7" i="3"/>
  <c r="V7" i="3"/>
  <c r="W7" i="3"/>
  <c r="X7" i="3"/>
  <c r="Y7" i="3"/>
  <c r="Z7" i="3"/>
  <c r="T1" i="3"/>
  <c r="U1" i="3" s="1"/>
  <c r="V1" i="3" s="1"/>
  <c r="W1" i="3" s="1"/>
  <c r="X1" i="3" s="1"/>
  <c r="Z4" i="1"/>
  <c r="R55" i="1"/>
  <c r="AC38" i="5"/>
  <c r="AD38" i="5" s="1"/>
  <c r="AE38" i="5" s="1"/>
  <c r="AC37" i="5"/>
  <c r="AD37" i="5" s="1"/>
  <c r="AE37" i="5" s="1"/>
  <c r="AC36" i="5"/>
  <c r="AD36" i="5" s="1"/>
  <c r="AE36" i="5" s="1"/>
  <c r="AC35" i="5"/>
  <c r="AD35" i="5" s="1"/>
  <c r="AE35" i="5" s="1"/>
  <c r="AC34" i="5"/>
  <c r="AD34" i="5" s="1"/>
  <c r="AE34" i="5" s="1"/>
  <c r="AC33" i="5"/>
  <c r="AD33" i="5" s="1"/>
  <c r="AE33" i="5" s="1"/>
  <c r="AC32" i="5"/>
  <c r="AD32" i="5" s="1"/>
  <c r="AE32" i="5" s="1"/>
  <c r="AC31" i="5"/>
  <c r="AD31" i="5" s="1"/>
  <c r="AE31" i="5" s="1"/>
  <c r="AC30" i="5"/>
  <c r="AD30" i="5" s="1"/>
  <c r="AE30" i="5" s="1"/>
  <c r="AC29" i="5"/>
  <c r="AD29" i="5" s="1"/>
  <c r="AE29" i="5" s="1"/>
  <c r="AC28" i="5"/>
  <c r="AD28" i="5" s="1"/>
  <c r="AE28" i="5" s="1"/>
  <c r="AC27" i="5"/>
  <c r="AD27" i="5" s="1"/>
  <c r="AE27" i="5" s="1"/>
  <c r="AC26" i="5"/>
  <c r="AD26" i="5" s="1"/>
  <c r="AE26" i="5" s="1"/>
  <c r="AC25" i="5"/>
  <c r="AD25" i="5" s="1"/>
  <c r="AE25" i="5" s="1"/>
  <c r="AC24" i="5"/>
  <c r="AD24" i="5" s="1"/>
  <c r="AE24" i="5" s="1"/>
  <c r="AC23" i="5"/>
  <c r="AD23" i="5" s="1"/>
  <c r="AE23" i="5" s="1"/>
  <c r="AC14" i="5"/>
  <c r="AD14" i="5" s="1"/>
  <c r="AE14" i="5" s="1"/>
  <c r="AC13" i="5"/>
  <c r="AD13" i="5" s="1"/>
  <c r="AE13" i="5" s="1"/>
  <c r="AC12" i="5"/>
  <c r="AD12" i="5" s="1"/>
  <c r="AE12" i="5" s="1"/>
  <c r="AC11" i="5"/>
  <c r="AD11" i="5" s="1"/>
  <c r="AE11" i="5" s="1"/>
  <c r="AC7" i="5"/>
  <c r="AD7" i="5" s="1"/>
  <c r="AE7" i="5" s="1"/>
  <c r="AC22" i="5"/>
  <c r="AD22" i="5" s="1"/>
  <c r="AE22" i="5" s="1"/>
  <c r="AC21" i="5"/>
  <c r="AD21" i="5" s="1"/>
  <c r="AE21" i="5" s="1"/>
  <c r="AC20" i="5"/>
  <c r="AD20" i="5" s="1"/>
  <c r="AE20" i="5" s="1"/>
  <c r="AC19" i="5"/>
  <c r="AD19" i="5" s="1"/>
  <c r="AE19" i="5" s="1"/>
  <c r="AC18" i="5"/>
  <c r="AD18" i="5" s="1"/>
  <c r="AE18" i="5" s="1"/>
  <c r="AC17" i="5"/>
  <c r="AD17" i="5" s="1"/>
  <c r="AE17" i="5" s="1"/>
  <c r="AC16" i="5"/>
  <c r="AD16" i="5" s="1"/>
  <c r="AE16" i="5" s="1"/>
  <c r="AC15" i="5"/>
  <c r="AD15" i="5" s="1"/>
  <c r="AE15" i="5" s="1"/>
  <c r="AC10" i="5"/>
  <c r="AD10" i="5" s="1"/>
  <c r="AE10" i="5" s="1"/>
  <c r="AC9" i="5"/>
  <c r="AD9" i="5" s="1"/>
  <c r="AE9" i="5" s="1"/>
  <c r="AC8" i="5"/>
  <c r="AD8" i="5" s="1"/>
  <c r="AE8" i="5" s="1"/>
  <c r="AC6" i="5"/>
  <c r="AD6" i="5" s="1"/>
  <c r="AE6" i="5" s="1"/>
  <c r="AA41" i="3"/>
  <c r="AB41" i="3" s="1"/>
  <c r="AC41" i="3" s="1"/>
  <c r="AC54" i="5"/>
  <c r="AD54" i="5" s="1"/>
  <c r="AE54" i="5" s="1"/>
  <c r="AC53" i="5"/>
  <c r="AD53" i="5" s="1"/>
  <c r="AE53" i="5" s="1"/>
  <c r="AC52" i="5"/>
  <c r="AD52" i="5" s="1"/>
  <c r="AE52" i="5" s="1"/>
  <c r="AC51" i="5"/>
  <c r="AD51" i="5" s="1"/>
  <c r="AE51" i="5" s="1"/>
  <c r="AC50" i="5"/>
  <c r="AD50" i="5" s="1"/>
  <c r="AE50" i="5" s="1"/>
  <c r="AC49" i="5"/>
  <c r="AD49" i="5" s="1"/>
  <c r="AE49" i="5" s="1"/>
  <c r="AC48" i="5"/>
  <c r="AD48" i="5" s="1"/>
  <c r="AE48" i="5" s="1"/>
  <c r="AC47" i="5"/>
  <c r="AD47" i="5" s="1"/>
  <c r="AE47" i="5" s="1"/>
  <c r="AC46" i="5"/>
  <c r="AD46" i="5" s="1"/>
  <c r="AE46" i="5" s="1"/>
  <c r="AC45" i="5"/>
  <c r="AD45" i="5" s="1"/>
  <c r="AE45" i="5" s="1"/>
  <c r="AC44" i="5"/>
  <c r="AD44" i="5" s="1"/>
  <c r="AE44" i="5" s="1"/>
  <c r="AC43" i="5"/>
  <c r="AD43" i="5" s="1"/>
  <c r="AE43" i="5" s="1"/>
  <c r="AC42" i="5"/>
  <c r="AD42" i="5" s="1"/>
  <c r="AE42" i="5" s="1"/>
  <c r="AC41" i="5"/>
  <c r="AD41" i="5" s="1"/>
  <c r="AE41" i="5" s="1"/>
  <c r="AC40" i="5"/>
  <c r="AD40" i="5" s="1"/>
  <c r="AE40" i="5" s="1"/>
  <c r="AC39" i="5"/>
  <c r="AD39" i="5" s="1"/>
  <c r="AE39" i="5" s="1"/>
  <c r="AA4" i="1" l="1"/>
  <c r="AA55" i="1" s="1"/>
  <c r="Z55" i="1"/>
  <c r="AA38" i="3"/>
  <c r="AB38" i="3" s="1"/>
  <c r="AC38" i="3" s="1"/>
  <c r="AA37" i="3"/>
  <c r="AB37" i="3" s="1"/>
  <c r="AC37" i="3" s="1"/>
  <c r="AA36" i="3"/>
  <c r="AB36" i="3" s="1"/>
  <c r="AC36" i="3" s="1"/>
  <c r="AA35" i="3"/>
  <c r="AB35" i="3" s="1"/>
  <c r="AC35" i="3" s="1"/>
  <c r="AA34" i="3"/>
  <c r="AB34" i="3" s="1"/>
  <c r="AC34" i="3" s="1"/>
  <c r="AA33" i="3"/>
  <c r="AB33" i="3" s="1"/>
  <c r="AC33" i="3" s="1"/>
  <c r="AA32" i="3"/>
  <c r="AB32" i="3" s="1"/>
  <c r="AC32" i="3" s="1"/>
  <c r="AA31" i="3"/>
  <c r="AB31" i="3" s="1"/>
  <c r="AC31" i="3" s="1"/>
  <c r="AA30" i="3"/>
  <c r="AB30" i="3" s="1"/>
  <c r="AC30" i="3" s="1"/>
  <c r="AA29" i="3"/>
  <c r="AB29" i="3" s="1"/>
  <c r="AC29" i="3" s="1"/>
  <c r="AA28" i="3"/>
  <c r="AB28" i="3" s="1"/>
  <c r="AC28" i="3" s="1"/>
  <c r="AA27" i="3"/>
  <c r="AB27" i="3" s="1"/>
  <c r="AC27" i="3" s="1"/>
  <c r="AA26" i="3"/>
  <c r="AB26" i="3" s="1"/>
  <c r="AC26" i="3" s="1"/>
  <c r="AA25" i="3"/>
  <c r="AB25" i="3" s="1"/>
  <c r="AC25" i="3" s="1"/>
  <c r="AA24" i="3"/>
  <c r="AB24" i="3" s="1"/>
  <c r="AC24" i="3" s="1"/>
  <c r="AA23" i="3"/>
  <c r="AB23" i="3" s="1"/>
  <c r="AC23" i="3" s="1"/>
  <c r="AA22" i="3"/>
  <c r="AB22" i="3" s="1"/>
  <c r="AC22" i="3" s="1"/>
  <c r="AA21" i="3"/>
  <c r="AB21" i="3" s="1"/>
  <c r="AC21" i="3" s="1"/>
  <c r="AA20" i="3"/>
  <c r="AB20" i="3" s="1"/>
  <c r="AC20" i="3" s="1"/>
  <c r="AA19" i="3"/>
  <c r="AB19" i="3" s="1"/>
  <c r="AC19" i="3" s="1"/>
  <c r="AA18" i="3"/>
  <c r="AB18" i="3" s="1"/>
  <c r="AC18" i="3" s="1"/>
  <c r="AA17" i="3"/>
  <c r="AB17" i="3" s="1"/>
  <c r="AC17" i="3" s="1"/>
  <c r="AA16" i="3"/>
  <c r="AB16" i="3" s="1"/>
  <c r="AC16" i="3" s="1"/>
  <c r="AA15" i="3"/>
  <c r="AB15" i="3" s="1"/>
  <c r="AC15" i="3" s="1"/>
  <c r="AA14" i="3"/>
  <c r="AB14" i="3" s="1"/>
  <c r="AC14" i="3" s="1"/>
  <c r="AA13" i="3"/>
  <c r="AB13" i="3" s="1"/>
  <c r="AC13" i="3" s="1"/>
  <c r="AA12" i="3"/>
  <c r="AB12" i="3" s="1"/>
  <c r="AC12" i="3" s="1"/>
  <c r="AA11" i="3"/>
  <c r="AB11" i="3" s="1"/>
  <c r="AC11" i="3" s="1"/>
  <c r="AA10" i="3"/>
  <c r="AB10" i="3" s="1"/>
  <c r="AC10" i="3" s="1"/>
  <c r="AA9" i="3"/>
  <c r="AB9" i="3" s="1"/>
  <c r="AC9" i="3" s="1"/>
  <c r="AA8" i="3"/>
  <c r="AB8" i="3" s="1"/>
  <c r="AC8" i="3" s="1"/>
  <c r="AE8" i="3" s="1"/>
  <c r="AA7" i="3"/>
  <c r="AB7" i="3" s="1"/>
  <c r="AC7" i="3" s="1"/>
  <c r="AA56" i="3"/>
  <c r="AB56" i="3" s="1"/>
  <c r="AC56" i="3" s="1"/>
  <c r="AA55" i="3"/>
  <c r="AB55" i="3" s="1"/>
  <c r="AC55" i="3" s="1"/>
  <c r="AA54" i="3"/>
  <c r="AB54" i="3" s="1"/>
  <c r="AC54" i="3" s="1"/>
  <c r="AA53" i="3"/>
  <c r="AB53" i="3" s="1"/>
  <c r="AC53" i="3" s="1"/>
  <c r="AA52" i="3"/>
  <c r="AB52" i="3" s="1"/>
  <c r="AC52" i="3" s="1"/>
  <c r="AA51" i="3"/>
  <c r="AB51" i="3" s="1"/>
  <c r="AC51" i="3" s="1"/>
  <c r="AA50" i="3"/>
  <c r="AB50" i="3" s="1"/>
  <c r="AC50" i="3" s="1"/>
  <c r="AA49" i="3"/>
  <c r="AB49" i="3" s="1"/>
  <c r="AC49" i="3" s="1"/>
  <c r="AA48" i="3"/>
  <c r="AB48" i="3" s="1"/>
  <c r="AC48" i="3" s="1"/>
  <c r="AA47" i="3"/>
  <c r="AB47" i="3" s="1"/>
  <c r="AC47" i="3" s="1"/>
  <c r="AA46" i="3"/>
  <c r="AB46" i="3" s="1"/>
  <c r="AC46" i="3" s="1"/>
  <c r="AA45" i="3"/>
  <c r="AB45" i="3" s="1"/>
  <c r="AC45" i="3" s="1"/>
  <c r="AA44" i="3"/>
  <c r="AB44" i="3" s="1"/>
  <c r="AC44" i="3" s="1"/>
  <c r="AA43" i="3"/>
  <c r="AB43" i="3" s="1"/>
  <c r="AC43" i="3" s="1"/>
  <c r="AA42" i="3"/>
  <c r="AB42" i="3" s="1"/>
  <c r="AC42" i="3" s="1"/>
  <c r="AA40" i="3"/>
  <c r="AB40" i="3" s="1"/>
  <c r="AC40" i="3" s="1"/>
  <c r="AA39" i="3"/>
  <c r="AB39" i="3" s="1"/>
  <c r="AC39" i="3" s="1"/>
</calcChain>
</file>

<file path=xl/sharedStrings.xml><?xml version="1.0" encoding="utf-8"?>
<sst xmlns="http://schemas.openxmlformats.org/spreadsheetml/2006/main" count="916" uniqueCount="427">
  <si>
    <t xml:space="preserve"> </t>
  </si>
  <si>
    <t>XYZ LIMITED</t>
  </si>
  <si>
    <r>
      <rPr>
        <b/>
        <sz val="14"/>
        <color theme="1"/>
        <rFont val="Roboto"/>
      </rPr>
      <t xml:space="preserve">Payslip
</t>
    </r>
    <r>
      <rPr>
        <sz val="11"/>
        <color theme="1"/>
        <rFont val="Roboto"/>
      </rPr>
      <t xml:space="preserve">
TRACTION OUTSOURCING NIGERIA LIMITED
</t>
    </r>
  </si>
  <si>
    <t>2 KAJOLA STREET, OPP ST TIGER  LAGOS</t>
  </si>
  <si>
    <t>Staff Details</t>
  </si>
  <si>
    <t xml:space="preserve">2022 REVIEW STAFF PAYROLL AND TAX PAYABLE </t>
  </si>
  <si>
    <t>SN</t>
  </si>
  <si>
    <t>Gross Emolument Breakdown</t>
  </si>
  <si>
    <t>NAME</t>
  </si>
  <si>
    <t>DEPT</t>
  </si>
  <si>
    <t>SALARY</t>
  </si>
  <si>
    <t>ANNUAL SALARY</t>
  </si>
  <si>
    <t>PENSION</t>
  </si>
  <si>
    <t>NHF</t>
  </si>
  <si>
    <t>GROSS INCOME</t>
  </si>
  <si>
    <t>CRA</t>
  </si>
  <si>
    <t>TAXABLE INCOME</t>
  </si>
  <si>
    <t>ANNUAL TAX</t>
  </si>
  <si>
    <t>MONTHLY TAX</t>
  </si>
  <si>
    <t>Employee name:</t>
  </si>
  <si>
    <t>Statutory Deductions</t>
  </si>
  <si>
    <t>TAIWO</t>
  </si>
  <si>
    <t>ACC</t>
  </si>
  <si>
    <t>ANNUAL RENT IS ON CELL AF4</t>
  </si>
  <si>
    <t>Delivery Penalty</t>
  </si>
  <si>
    <t>Chargeble Income</t>
  </si>
  <si>
    <t>PAYE Tax Band</t>
  </si>
  <si>
    <t>Emp ID</t>
  </si>
  <si>
    <t>LATE COMING x2</t>
  </si>
  <si>
    <t>S/N</t>
  </si>
  <si>
    <t>NAMES</t>
  </si>
  <si>
    <t>JIDE</t>
  </si>
  <si>
    <t>COST</t>
  </si>
  <si>
    <t>Start Date:</t>
  </si>
  <si>
    <t>DESIGNATION</t>
  </si>
  <si>
    <t>EMP ID</t>
  </si>
  <si>
    <t>START DATE</t>
  </si>
  <si>
    <t>MONTH START DATE</t>
  </si>
  <si>
    <t>FEMI</t>
  </si>
  <si>
    <t>HR</t>
  </si>
  <si>
    <t>MONTH END DATE</t>
  </si>
  <si>
    <t>WORKED DAYS</t>
  </si>
  <si>
    <t>BASIC</t>
  </si>
  <si>
    <t>HOUSING</t>
  </si>
  <si>
    <t>TRANSPORT</t>
  </si>
  <si>
    <t>UTILITY</t>
  </si>
  <si>
    <t>MEAL</t>
  </si>
  <si>
    <t>TOTAL INCOME</t>
  </si>
  <si>
    <t>BONUS</t>
  </si>
  <si>
    <t>perf REWARD</t>
  </si>
  <si>
    <t>GROSS PAY</t>
  </si>
  <si>
    <t>EMMANUEL</t>
  </si>
  <si>
    <t>PRD</t>
  </si>
  <si>
    <t>PAYE</t>
  </si>
  <si>
    <t>HMO</t>
  </si>
  <si>
    <t>OTHER DEDUCTION</t>
  </si>
  <si>
    <t>LOAN REPAYMENT</t>
  </si>
  <si>
    <t>PENALTY</t>
  </si>
  <si>
    <t>Pay Period:</t>
  </si>
  <si>
    <t>REASON</t>
  </si>
  <si>
    <t>TOTAL DEDUCTIONS</t>
  </si>
  <si>
    <t>NET SALARY</t>
  </si>
  <si>
    <t>BANK</t>
  </si>
  <si>
    <t>ACC NUMBER</t>
  </si>
  <si>
    <t>EMAIL ADDRESS</t>
  </si>
  <si>
    <t>RSA PIN</t>
  </si>
  <si>
    <t>TAX ID</t>
  </si>
  <si>
    <t>ANNUAL RENT</t>
  </si>
  <si>
    <t>Designation:</t>
  </si>
  <si>
    <t>COUNT OF ACC NUM</t>
  </si>
  <si>
    <t>COUNT OF RSA PIN</t>
  </si>
  <si>
    <t>JAMES</t>
  </si>
  <si>
    <t>QC</t>
  </si>
  <si>
    <t>SALIU AMINU</t>
  </si>
  <si>
    <t>MANAGING DIRECTOR</t>
  </si>
  <si>
    <t>OTL/0009</t>
  </si>
  <si>
    <t>Worked Days:</t>
  </si>
  <si>
    <t>CHUKA</t>
  </si>
  <si>
    <t>Bank:</t>
  </si>
  <si>
    <t>ALICE</t>
  </si>
  <si>
    <t>Annual PAYE</t>
  </si>
  <si>
    <t>Monthly PAYE</t>
  </si>
  <si>
    <t>Monthly Net Pay</t>
  </si>
  <si>
    <t>JOHN</t>
  </si>
  <si>
    <t>Tax ID:</t>
  </si>
  <si>
    <t>ADAMU</t>
  </si>
  <si>
    <t>Acc. Number:</t>
  </si>
  <si>
    <t>JIMOH</t>
  </si>
  <si>
    <t>AUD</t>
  </si>
  <si>
    <t>IFEANYI</t>
  </si>
  <si>
    <t>SAFETY</t>
  </si>
  <si>
    <t>RSA Pin:</t>
  </si>
  <si>
    <t>Email Address:</t>
  </si>
  <si>
    <t>BOSE</t>
  </si>
  <si>
    <t>WARE HS</t>
  </si>
  <si>
    <t>Earnings</t>
  </si>
  <si>
    <t>HALIMA</t>
  </si>
  <si>
    <t>Amount</t>
  </si>
  <si>
    <t>TOSIN</t>
  </si>
  <si>
    <t>AKANDE</t>
  </si>
  <si>
    <t>Deductions</t>
  </si>
  <si>
    <t>WALE</t>
  </si>
  <si>
    <t>ODUN</t>
  </si>
  <si>
    <t>AZEEZ</t>
  </si>
  <si>
    <t>MODINAT</t>
  </si>
  <si>
    <t>Basic</t>
  </si>
  <si>
    <t>FOLA</t>
  </si>
  <si>
    <t>Staff Pension Contribution</t>
  </si>
  <si>
    <t>₦26,408.00</t>
  </si>
  <si>
    <t>N/A</t>
  </si>
  <si>
    <t>First</t>
  </si>
  <si>
    <t xml:space="preserve">Next </t>
  </si>
  <si>
    <r>
      <rPr>
        <sz val="11"/>
        <color rgb="FF1F1F1F"/>
        <rFont val="Arial"/>
      </rPr>
      <t>Next</t>
    </r>
  </si>
  <si>
    <t>Next</t>
  </si>
  <si>
    <t>Housing</t>
  </si>
  <si>
    <t>ACCESS BANK</t>
  </si>
  <si>
    <t>Income Tax(PAYE)</t>
  </si>
  <si>
    <t>XXY@GMAIL.COM</t>
  </si>
  <si>
    <t>PENXXXXXXXXXXXX</t>
  </si>
  <si>
    <t>ABFT3@</t>
  </si>
  <si>
    <t>Transport</t>
  </si>
  <si>
    <t>Name</t>
  </si>
  <si>
    <t>Staff ID</t>
  </si>
  <si>
    <t>Life Assurance</t>
  </si>
  <si>
    <t>Employee Gross Income</t>
  </si>
  <si>
    <t>OLUDAYO BANKE</t>
  </si>
  <si>
    <t>EXECUTIVE ASSISTANT</t>
  </si>
  <si>
    <t>OTL/0036</t>
  </si>
  <si>
    <t>Utility Allowance</t>
  </si>
  <si>
    <t>Gross Income 1</t>
  </si>
  <si>
    <t>Employee Pension 8% of BTH</t>
  </si>
  <si>
    <t>NHIS 5% of basic salary</t>
  </si>
  <si>
    <t>NHF 2.5% of Gross Income</t>
  </si>
  <si>
    <t>Leave  Allowance</t>
  </si>
  <si>
    <t>13th Month/L.A/Bonus</t>
  </si>
  <si>
    <t>Gross Income 2     (Annual Income less statutory deductions)</t>
  </si>
  <si>
    <t>Consolidated Relief Allowance (CRA)</t>
  </si>
  <si>
    <t>Taxable Income</t>
  </si>
  <si>
    <t>Meal</t>
  </si>
  <si>
    <t>Other Deductions</t>
  </si>
  <si>
    <t>SUB TOTAL</t>
  </si>
  <si>
    <t>₦482.00</t>
  </si>
  <si>
    <t>UNITED BANK FOR AFRICA</t>
  </si>
  <si>
    <t>ZXLP9#</t>
  </si>
  <si>
    <r>
      <rPr>
        <b/>
        <sz val="11"/>
        <color rgb="FF1F1F1F"/>
        <rFont val="Arial"/>
      </rPr>
      <t>Employer's Pension Contribution 10%</t>
    </r>
  </si>
  <si>
    <t>CHRISTOPHER HANNAH</t>
  </si>
  <si>
    <t>ITF LEVY MONTHLY</t>
  </si>
  <si>
    <t>OFFICE ADMINISTRATOR</t>
  </si>
  <si>
    <t>OTL/0058</t>
  </si>
  <si>
    <t>Loan Repayment</t>
  </si>
  <si>
    <t>Bonus</t>
  </si>
  <si>
    <t>₦13,586.00</t>
  </si>
  <si>
    <t>UBA</t>
  </si>
  <si>
    <t>MNQR2&amp;</t>
  </si>
  <si>
    <t>OJO ABIGAIL</t>
  </si>
  <si>
    <t>RECEPTIONIST</t>
  </si>
  <si>
    <t>OTL/0014</t>
  </si>
  <si>
    <t>Penalty</t>
  </si>
  <si>
    <t>Perfomance Reward</t>
  </si>
  <si>
    <t>₦14,522.00</t>
  </si>
  <si>
    <t>Reason</t>
  </si>
  <si>
    <t>VWCD7^</t>
  </si>
  <si>
    <t xml:space="preserve"> Abdulkadir Rahis</t>
  </si>
  <si>
    <t>COMPANY SECRETARY</t>
  </si>
  <si>
    <t>OTL/0032</t>
  </si>
  <si>
    <t>₦10,310.00</t>
  </si>
  <si>
    <t>Total Earnings</t>
  </si>
  <si>
    <t>HJKL1@</t>
  </si>
  <si>
    <t xml:space="preserve"> Abdullahi Dabai</t>
  </si>
  <si>
    <t>HR MANAGER</t>
  </si>
  <si>
    <t>OTL/0005</t>
  </si>
  <si>
    <t>Total Deductions</t>
  </si>
  <si>
    <t>₦29,600.00</t>
  </si>
  <si>
    <t>QRST8#</t>
  </si>
  <si>
    <t xml:space="preserve"> Abdullahi Idris Garba</t>
  </si>
  <si>
    <t>HR OFFICER</t>
  </si>
  <si>
    <t>OTL/0013</t>
  </si>
  <si>
    <t>₦7,250.00</t>
  </si>
  <si>
    <t>ZENITH BANK</t>
  </si>
  <si>
    <t>Net Pay</t>
  </si>
  <si>
    <t>EFGH4&amp;</t>
  </si>
  <si>
    <t xml:space="preserve"> Abdullahi Mamudu</t>
  </si>
  <si>
    <t>TALENT ACQUISITION SPECIALIST</t>
  </si>
  <si>
    <t>OTL/0016</t>
  </si>
  <si>
    <t>₦1,250.00</t>
  </si>
  <si>
    <t>YUIO6^</t>
  </si>
  <si>
    <t xml:space="preserve"> Abdullahi Sani</t>
  </si>
  <si>
    <t>TRAINING &amp; DEVELOPMENT OFFICER</t>
  </si>
  <si>
    <t>OTL/0017</t>
  </si>
  <si>
    <t>BNML5@</t>
  </si>
  <si>
    <t xml:space="preserve"> Abdulmalik Zubairu</t>
  </si>
  <si>
    <t>PAYROLL OFFICER</t>
  </si>
  <si>
    <t>OTL/0007</t>
  </si>
  <si>
    <t xml:space="preserve">              Employer Signature</t>
  </si>
  <si>
    <t>Employee Signature</t>
  </si>
  <si>
    <t>TZXC0#</t>
  </si>
  <si>
    <t xml:space="preserve"> Abdulmumin Ari Mohammed</t>
  </si>
  <si>
    <t>CHIEF FINANCIAL OFFICER</t>
  </si>
  <si>
    <t>OTL/0004</t>
  </si>
  <si>
    <t>This is a system generated payslip</t>
  </si>
  <si>
    <t>DEFG2&amp;</t>
  </si>
  <si>
    <t xml:space="preserve"> Abdulraheem Abdulmaleek</t>
  </si>
  <si>
    <t>ACCOUNTANT</t>
  </si>
  <si>
    <t>OTL/0003</t>
  </si>
  <si>
    <t>WQER9^</t>
  </si>
  <si>
    <t xml:space="preserve"> Abdulraheem Olatunji Olawuyi</t>
  </si>
  <si>
    <t>OTL/0027</t>
  </si>
  <si>
    <t>JKLM3@</t>
  </si>
  <si>
    <t xml:space="preserve"> Abiodun James Faleke</t>
  </si>
  <si>
    <t>ACCOUNTS PAYABLE OFFICER</t>
  </si>
  <si>
    <t>OTL/0028</t>
  </si>
  <si>
    <t>.</t>
  </si>
  <si>
    <t>ASDF7#</t>
  </si>
  <si>
    <t xml:space="preserve"> Abiola Peter Makinde</t>
  </si>
  <si>
    <t>ACCOUNTS RECEIVABLE OFFICER</t>
  </si>
  <si>
    <t>OTL/0033</t>
  </si>
  <si>
    <t>FIRST BANK OF NIGERIA</t>
  </si>
  <si>
    <t>GHIJ1&amp;</t>
  </si>
  <si>
    <t xml:space="preserve"> Abonsizibe Oforji Obuku</t>
  </si>
  <si>
    <t>INTERNAL AUDITOR</t>
  </si>
  <si>
    <t>OTL/0011</t>
  </si>
  <si>
    <t>ZXCV6^</t>
  </si>
  <si>
    <t xml:space="preserve"> Abubakar Ahmad Mohammed</t>
  </si>
  <si>
    <t>FINANCE ANALYST</t>
  </si>
  <si>
    <t>OTL/0012</t>
  </si>
  <si>
    <t>MNOP4@</t>
  </si>
  <si>
    <t xml:space="preserve"> Abubakar Hassan Fulata</t>
  </si>
  <si>
    <t>OPERATIONS MANAGER</t>
  </si>
  <si>
    <t>OTL/0019</t>
  </si>
  <si>
    <t>FIDELITY BANK</t>
  </si>
  <si>
    <t>QWER8#</t>
  </si>
  <si>
    <t xml:space="preserve"> Abubakar Hassan Nalaraba</t>
  </si>
  <si>
    <t>LOGISTICS COORDINATOR</t>
  </si>
  <si>
    <t>OTL/0034</t>
  </si>
  <si>
    <t>MONIEPOINT MFB</t>
  </si>
  <si>
    <t>TYUI0&amp;</t>
  </si>
  <si>
    <t xml:space="preserve"> Abubakar Kabir Abubakar</t>
  </si>
  <si>
    <t>PROCUREMENT OFFICER</t>
  </si>
  <si>
    <t>OTL/0025</t>
  </si>
  <si>
    <t>TAX TABLE</t>
  </si>
  <si>
    <t>PASD5^</t>
  </si>
  <si>
    <t xml:space="preserve"> Abubakar Sarki Dahiru</t>
  </si>
  <si>
    <t>INVENTORY OFFICER</t>
  </si>
  <si>
    <t>OTL/0026</t>
  </si>
  <si>
    <t>OPAY</t>
  </si>
  <si>
    <t>LOPK3@</t>
  </si>
  <si>
    <t xml:space="preserve"> Abubakar Yabo Umaru</t>
  </si>
  <si>
    <t>WAREHOUSE SUPERVISOR</t>
  </si>
  <si>
    <t>OTL/0015</t>
  </si>
  <si>
    <t>PALMPAY</t>
  </si>
  <si>
    <t>VBNM9#</t>
  </si>
  <si>
    <t xml:space="preserve"> Adamu Hashimu</t>
  </si>
  <si>
    <t>DISPATCH RIDER</t>
  </si>
  <si>
    <t>OTL/0018</t>
  </si>
  <si>
    <r>
      <rPr>
        <sz val="11"/>
        <color rgb="FF1F1F1F"/>
        <rFont val="Arial"/>
      </rPr>
      <t>Next</t>
    </r>
  </si>
  <si>
    <t>RTYU2&amp;</t>
  </si>
  <si>
    <t xml:space="preserve"> Adamu Ibrahim Gamawa</t>
  </si>
  <si>
    <t>OTL/0031</t>
  </si>
  <si>
    <t xml:space="preserve">Employer's  Contribution </t>
  </si>
  <si>
    <t>Annual Gross</t>
  </si>
  <si>
    <t>Monthly Gross Income</t>
  </si>
  <si>
    <t>EIWO7^</t>
  </si>
  <si>
    <t xml:space="preserve"> Adamu Tanko</t>
  </si>
  <si>
    <t>IT MANAGER</t>
  </si>
  <si>
    <t>OTL/0022</t>
  </si>
  <si>
    <t>Employee Pension 8% of BHT</t>
  </si>
  <si>
    <t>Other Bonuses</t>
  </si>
  <si>
    <t>13th Month/Bonus</t>
  </si>
  <si>
    <t>Annual Rent</t>
  </si>
  <si>
    <t xml:space="preserve">Rent Relief </t>
  </si>
  <si>
    <t>Chargeable Income</t>
  </si>
  <si>
    <t>UJHG1@</t>
  </si>
  <si>
    <t xml:space="preserve"> Adebayo Olusegun Balogun</t>
  </si>
  <si>
    <t>SYSTEM ADMINISTRATOR</t>
  </si>
  <si>
    <t>OTL/0041</t>
  </si>
  <si>
    <t xml:space="preserve"> Pension Contribution 10% (BHT)</t>
  </si>
  <si>
    <t>AZXC4#</t>
  </si>
  <si>
    <t xml:space="preserve"> Adeboye Paul Kalejaiye</t>
  </si>
  <si>
    <t>NETWORK ENGINEER</t>
  </si>
  <si>
    <t>OTL/0042</t>
  </si>
  <si>
    <t>QWAS6&amp;</t>
  </si>
  <si>
    <t xml:space="preserve"> Adedeji Stanley Olajide</t>
  </si>
  <si>
    <t>SOFTWARE DEVELOPER</t>
  </si>
  <si>
    <t>OTL/0043</t>
  </si>
  <si>
    <t>ERDF0^</t>
  </si>
  <si>
    <t xml:space="preserve"> Adefarati Adegboyega</t>
  </si>
  <si>
    <t>OTL/0046</t>
  </si>
  <si>
    <t>TGYH5@</t>
  </si>
  <si>
    <t xml:space="preserve"> Adelegbe Emmanuel Oluwatimehin</t>
  </si>
  <si>
    <t>IT SUPPORT TECHNICIAN</t>
  </si>
  <si>
    <t>OTL/0047</t>
  </si>
  <si>
    <t>ZXCV8#</t>
  </si>
  <si>
    <t xml:space="preserve"> Aderemi Abasi Oseni</t>
  </si>
  <si>
    <t>MARKETING MANAGER</t>
  </si>
  <si>
    <t>OTL/0048</t>
  </si>
  <si>
    <t>BNMM2&amp;</t>
  </si>
  <si>
    <t xml:space="preserve"> Adetola Kafilat Ogbara</t>
  </si>
  <si>
    <t>DIGITAL MARKETING EXECUTIVE</t>
  </si>
  <si>
    <t>OTL/0049</t>
  </si>
  <si>
    <t>LPKO9^</t>
  </si>
  <si>
    <t xml:space="preserve"> Adetunji Abidemi Olusoji</t>
  </si>
  <si>
    <t>BRAND STRATEGIST</t>
  </si>
  <si>
    <t>OTL/0050</t>
  </si>
  <si>
    <t>JKLH3@</t>
  </si>
  <si>
    <t xml:space="preserve"> Adewale Hameed</t>
  </si>
  <si>
    <t>SALES MANAGER</t>
  </si>
  <si>
    <t>OTL/0051</t>
  </si>
  <si>
    <t>SDFG7#</t>
  </si>
  <si>
    <t xml:space="preserve"> Adewunmi Oriyomi Onanuga</t>
  </si>
  <si>
    <t>SALES EXECUTIVE</t>
  </si>
  <si>
    <t>OTL/0053</t>
  </si>
  <si>
    <t>STANBIC IBTC BANK</t>
  </si>
  <si>
    <t>GHJK1&amp;</t>
  </si>
  <si>
    <t xml:space="preserve"> Adeyemi Benjamin Olabinjo</t>
  </si>
  <si>
    <t>OTL/0054</t>
  </si>
  <si>
    <t>QWER6^</t>
  </si>
  <si>
    <t xml:space="preserve"> Adeyemi Taofeek Alli</t>
  </si>
  <si>
    <t>OTL/0055</t>
  </si>
  <si>
    <t>TYUI4@</t>
  </si>
  <si>
    <t xml:space="preserve"> Afolabi Moruf Afuape</t>
  </si>
  <si>
    <t>CUSTOMER SERVICE REPRESENTATIVE</t>
  </si>
  <si>
    <t>OTL/0045</t>
  </si>
  <si>
    <t>GUARANTY TRUST BANK PLC</t>
  </si>
  <si>
    <t>PASD8#</t>
  </si>
  <si>
    <t xml:space="preserve"> Agah Avia Musa</t>
  </si>
  <si>
    <t>OTL/0008</t>
  </si>
  <si>
    <t>LOPK0&amp;</t>
  </si>
  <si>
    <t xml:space="preserve"> Agbedi Yeitiemone Frederick</t>
  </si>
  <si>
    <t>OTL/0020</t>
  </si>
  <si>
    <t>VBNM5^</t>
  </si>
  <si>
    <t xml:space="preserve"> Ahmad Abdullahi Kalambaina</t>
  </si>
  <si>
    <t>QUALITY ASSURANCE OFFICER</t>
  </si>
  <si>
    <t>OTL/0024</t>
  </si>
  <si>
    <t>UNION BANK</t>
  </si>
  <si>
    <t>RTYU3@</t>
  </si>
  <si>
    <t xml:space="preserve"> Ahmadu Usman Jaha</t>
  </si>
  <si>
    <t>COMPLIANCE OFFICER</t>
  </si>
  <si>
    <t>OTL/0038</t>
  </si>
  <si>
    <t>EIWO9#</t>
  </si>
  <si>
    <t xml:space="preserve"> Ahmed Adam Saba</t>
  </si>
  <si>
    <t>HEALTH &amp; SAFETY OFFICER</t>
  </si>
  <si>
    <t>OTL/0002</t>
  </si>
  <si>
    <t>UJHG2&amp;</t>
  </si>
  <si>
    <t xml:space="preserve"> Ahmed Aliyu</t>
  </si>
  <si>
    <t>RESEARCH &amp; DEVELOPMENT OFFICER</t>
  </si>
  <si>
    <t>OTL/0037</t>
  </si>
  <si>
    <t>AZXC7^</t>
  </si>
  <si>
    <t xml:space="preserve"> Ahmed Doro Yusuf</t>
  </si>
  <si>
    <t>DATA ANALYST</t>
  </si>
  <si>
    <t>OTL/0006</t>
  </si>
  <si>
    <t>QWAS1@</t>
  </si>
  <si>
    <t xml:space="preserve"> Ahmed Idris Wase</t>
  </si>
  <si>
    <t>PROJECT MANAGER</t>
  </si>
  <si>
    <t>OTL/0010</t>
  </si>
  <si>
    <t>ERDF4#</t>
  </si>
  <si>
    <t xml:space="preserve"> Ahmed Munir</t>
  </si>
  <si>
    <t>BUSINESS DEVELOPMENT EXECUTIVE</t>
  </si>
  <si>
    <t>OTL/0056</t>
  </si>
  <si>
    <t>TGYH6&amp;</t>
  </si>
  <si>
    <t xml:space="preserve"> Ajilo Umar</t>
  </si>
  <si>
    <t>FACILITY MANAGER</t>
  </si>
  <si>
    <t>OTL/0021</t>
  </si>
  <si>
    <t>ZXCV0^</t>
  </si>
  <si>
    <t xml:space="preserve"> Akanni Enitan Dolapo-badru</t>
  </si>
  <si>
    <t>CLEANER</t>
  </si>
  <si>
    <t>OTL/0044</t>
  </si>
  <si>
    <t>BNMM5@</t>
  </si>
  <si>
    <t xml:space="preserve"> Akeem Adeniyi Adeyemi</t>
  </si>
  <si>
    <t>OTL/0057</t>
  </si>
  <si>
    <t>LPKO8#</t>
  </si>
  <si>
    <t>ZZZ ZZZ ZZZ</t>
  </si>
  <si>
    <t>SECURITY GUARD</t>
  </si>
  <si>
    <t>ZZZ</t>
  </si>
  <si>
    <t>DD/MM/YYYY</t>
  </si>
  <si>
    <t>ENT 1</t>
  </si>
  <si>
    <t>ENT 2</t>
  </si>
  <si>
    <t>WHT</t>
  </si>
  <si>
    <t>FIRS(NRS)</t>
  </si>
  <si>
    <t>LLC</t>
  </si>
  <si>
    <t>NRS(FIRS)</t>
  </si>
  <si>
    <t>Rents on properties (10%)</t>
  </si>
  <si>
    <t>BN</t>
  </si>
  <si>
    <t>SIRS</t>
  </si>
  <si>
    <t>Dividends/Profits from companies (10%)</t>
  </si>
  <si>
    <t>IND</t>
  </si>
  <si>
    <t>Interest on bank deposits or securities (10%)</t>
  </si>
  <si>
    <t>Royalties (5%)</t>
  </si>
  <si>
    <t>SAMPLE PAYROLL</t>
  </si>
  <si>
    <t>OTHERS</t>
  </si>
  <si>
    <t>M SALARY</t>
  </si>
  <si>
    <t>ANN RENT</t>
  </si>
  <si>
    <t>MONTHLY PAYE</t>
  </si>
  <si>
    <t>Withholding Taxes</t>
  </si>
  <si>
    <t>Part A - Withholder details</t>
  </si>
  <si>
    <t>Address</t>
  </si>
  <si>
    <t>TIN</t>
  </si>
  <si>
    <t>Date of remittance</t>
  </si>
  <si>
    <t>Part B - Withholding tax information - withholdees</t>
  </si>
  <si>
    <t>Name of beneficiary</t>
  </si>
  <si>
    <t>Beneficiary TIN #</t>
  </si>
  <si>
    <t>Date of transaction</t>
  </si>
  <si>
    <t>Nature of transaction</t>
  </si>
  <si>
    <t>Gross Amount  of contract</t>
  </si>
  <si>
    <t>Withholding Tax Rate</t>
  </si>
  <si>
    <t>Withholding Amount</t>
  </si>
  <si>
    <t>Net paid</t>
  </si>
  <si>
    <t>Autocomm</t>
  </si>
  <si>
    <t>OTL/0035</t>
  </si>
  <si>
    <t>Contract of Supply</t>
  </si>
  <si>
    <t>OTL/0040</t>
  </si>
  <si>
    <t>OTL/0039</t>
  </si>
  <si>
    <t>OTL/0001</t>
  </si>
  <si>
    <t>Compumetrics</t>
  </si>
  <si>
    <t>Professional Fees</t>
  </si>
  <si>
    <t>OTL/0029</t>
  </si>
  <si>
    <t>fenix</t>
  </si>
  <si>
    <t>OTL/0023</t>
  </si>
  <si>
    <t>Technical &amp; Management Fees</t>
  </si>
  <si>
    <t>OTL/0030</t>
  </si>
  <si>
    <t>Rent</t>
  </si>
  <si>
    <t>OTL/0060</t>
  </si>
  <si>
    <t>Director fees</t>
  </si>
  <si>
    <t>OTL/0062</t>
  </si>
  <si>
    <t>OTL/0061</t>
  </si>
  <si>
    <t>OTL/0059</t>
  </si>
  <si>
    <t>Interest</t>
  </si>
  <si>
    <t>OTL/0063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</si>
</sst>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mmm\ d"/>
    <numFmt numFmtId="165" formatCode="d&quot; &quot;mmm&quot; &quot;yyyy"/>
    <numFmt numFmtId="166" formatCode="d\ mmmm"/>
    <numFmt numFmtId="167" formatCode="dd/mm/yyyy"/>
    <numFmt numFmtId="168" formatCode="d&quot;-&quot;mmm&quot;-&quot;yyyy"/>
    <numFmt numFmtId="169" formatCode="mmmm\ yyyy"/>
    <numFmt numFmtId="170" formatCode="[$₦]#,##0.00"/>
    <numFmt numFmtId="171" formatCode="d/m/yyyy"/>
  </numFmts>
  <fonts count="46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2"/>
      <color theme="1"/>
      <name val="Arial"/>
    </font>
    <font>
      <sz val="11"/>
      <color theme="1"/>
      <name val="Roboto"/>
    </font>
    <font>
      <sz val="10"/>
      <name val="Arial"/>
    </font>
    <font>
      <sz val="11"/>
      <color rgb="FF70AD47"/>
      <name val="Calibri"/>
    </font>
    <font>
      <sz val="12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b/>
      <sz val="12"/>
      <color theme="1"/>
      <name val="Roboto"/>
    </font>
    <font>
      <i/>
      <sz val="11"/>
      <color rgb="FF0000FF"/>
      <name val="Roboto"/>
    </font>
    <font>
      <i/>
      <sz val="12"/>
      <color rgb="FF0000FF"/>
      <name val="Roboto"/>
    </font>
    <font>
      <b/>
      <sz val="10"/>
      <color rgb="FFFF9900"/>
      <name val="Arial"/>
    </font>
    <font>
      <b/>
      <sz val="10"/>
      <color rgb="FFFF0000"/>
      <name val="Arial"/>
    </font>
    <font>
      <sz val="12"/>
      <color rgb="FF0000FF"/>
      <name val="Roboto"/>
    </font>
    <font>
      <sz val="11"/>
      <color rgb="FF0000FF"/>
      <name val="Roboto"/>
    </font>
    <font>
      <sz val="10"/>
      <color rgb="FF0000FF"/>
      <name val="Arial"/>
    </font>
    <font>
      <b/>
      <sz val="14"/>
      <color theme="1"/>
      <name val="Roboto"/>
    </font>
    <font>
      <sz val="11"/>
      <color rgb="FF0000FF"/>
      <name val="Calibri"/>
    </font>
    <font>
      <b/>
      <sz val="10"/>
      <color rgb="FF0000FF"/>
      <name val="Arial"/>
    </font>
    <font>
      <sz val="11"/>
      <color rgb="FF000000"/>
      <name val="Roboto"/>
    </font>
    <font>
      <sz val="11"/>
      <color rgb="FFFF0000"/>
      <name val="Calibri"/>
    </font>
    <font>
      <sz val="11"/>
      <color rgb="FFFF0000"/>
      <name val="Roboto"/>
    </font>
    <font>
      <sz val="11"/>
      <color rgb="FF6AA84F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rgb="FF0000FF"/>
      <name val="Arial"/>
    </font>
    <font>
      <b/>
      <sz val="11"/>
      <color rgb="FF0000FF"/>
      <name val="Arial"/>
    </font>
    <font>
      <b/>
      <i/>
      <sz val="11"/>
      <color rgb="FF000000"/>
      <name val="Roboto"/>
    </font>
    <font>
      <b/>
      <sz val="11"/>
      <color rgb="FF1F1F1F"/>
      <name val="Arial"/>
    </font>
    <font>
      <b/>
      <sz val="11"/>
      <color theme="1"/>
      <name val="Roboto"/>
    </font>
    <font>
      <b/>
      <sz val="11"/>
      <color rgb="FF000000"/>
      <name val="Roboto"/>
    </font>
    <font>
      <b/>
      <i/>
      <sz val="11"/>
      <color rgb="FFFF0000"/>
      <name val="Roboto"/>
    </font>
    <font>
      <b/>
      <i/>
      <sz val="11"/>
      <color rgb="FF0000FF"/>
      <name val="Roboto"/>
    </font>
    <font>
      <b/>
      <i/>
      <sz val="11"/>
      <color theme="1"/>
      <name val="Roboto"/>
    </font>
    <font>
      <b/>
      <sz val="11"/>
      <color rgb="FF666666"/>
      <name val="Roboto"/>
    </font>
    <font>
      <b/>
      <sz val="11"/>
      <color rgb="FFFFFFFF"/>
      <name val="Calibri"/>
    </font>
    <font>
      <sz val="13"/>
      <color rgb="FF020817"/>
      <name val="Matter"/>
    </font>
    <font>
      <b/>
      <sz val="13"/>
      <color rgb="FF020817"/>
      <name val="Matter"/>
    </font>
    <font>
      <sz val="11"/>
      <color theme="1"/>
      <name val="Trebuchet MS"/>
    </font>
    <font>
      <sz val="16"/>
      <color theme="1"/>
      <name val="Trebuchet MS"/>
    </font>
    <font>
      <sz val="22"/>
      <color rgb="FFFF0000"/>
      <name val="Trebuchet MS"/>
    </font>
    <font>
      <b/>
      <sz val="11"/>
      <color theme="1"/>
      <name val="Trebuchet MS"/>
    </font>
    <font>
      <sz val="12"/>
      <color theme="1"/>
      <name val="Trebuchet MS"/>
    </font>
    <font>
      <sz val="11"/>
      <color rgb="FF1F1F1F"/>
      <name val="Arial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rgb="FF00B050"/>
      </patternFill>
    </fill>
    <fill>
      <patternFill patternType="solid">
        <fgColor rgb="FF999999"/>
        <bgColor rgb="FF999999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1" fillId="3" borderId="2" xfId="0" applyNumberFormat="1" applyFont="1" applyFill="1" applyBorder="1"/>
    <xf numFmtId="165" fontId="6" fillId="0" borderId="0" xfId="0" applyNumberFormat="1" applyFont="1"/>
    <xf numFmtId="166" fontId="2" fillId="0" borderId="0" xfId="0" applyNumberFormat="1" applyFont="1"/>
    <xf numFmtId="0" fontId="8" fillId="0" borderId="8" xfId="0" applyFont="1" applyBorder="1" applyAlignment="1">
      <alignment horizontal="center"/>
    </xf>
    <xf numFmtId="0" fontId="2" fillId="4" borderId="2" xfId="0" applyFont="1" applyFill="1" applyBorder="1"/>
    <xf numFmtId="0" fontId="1" fillId="0" borderId="11" xfId="0" applyFont="1" applyBorder="1" applyAlignment="1">
      <alignment horizontal="center"/>
    </xf>
    <xf numFmtId="0" fontId="9" fillId="6" borderId="12" xfId="0" applyFont="1" applyFill="1" applyBorder="1" applyAlignment="1">
      <alignment wrapText="1"/>
    </xf>
    <xf numFmtId="0" fontId="2" fillId="0" borderId="13" xfId="0" applyFont="1" applyBorder="1"/>
    <xf numFmtId="0" fontId="9" fillId="6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167" fontId="2" fillId="0" borderId="0" xfId="0" applyNumberFormat="1" applyFont="1"/>
    <xf numFmtId="0" fontId="8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0" xfId="0" applyFont="1" applyAlignment="1">
      <alignment wrapText="1"/>
    </xf>
    <xf numFmtId="4" fontId="2" fillId="0" borderId="0" xfId="0" applyNumberFormat="1" applyFont="1"/>
    <xf numFmtId="0" fontId="2" fillId="7" borderId="16" xfId="0" applyFont="1" applyFill="1" applyBorder="1"/>
    <xf numFmtId="43" fontId="2" fillId="7" borderId="16" xfId="0" applyNumberFormat="1" applyFont="1" applyFill="1" applyBorder="1"/>
    <xf numFmtId="0" fontId="10" fillId="0" borderId="13" xfId="0" applyFont="1" applyBorder="1" applyAlignment="1">
      <alignment horizontal="center"/>
    </xf>
    <xf numFmtId="49" fontId="2" fillId="0" borderId="0" xfId="0" applyNumberFormat="1" applyFont="1"/>
    <xf numFmtId="0" fontId="8" fillId="0" borderId="1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0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167" fontId="2" fillId="5" borderId="2" xfId="0" applyNumberFormat="1" applyFont="1" applyFill="1" applyBorder="1"/>
    <xf numFmtId="0" fontId="1" fillId="0" borderId="8" xfId="0" applyFont="1" applyBorder="1" applyAlignment="1">
      <alignment horizontal="center"/>
    </xf>
    <xf numFmtId="168" fontId="12" fillId="0" borderId="14" xfId="0" applyNumberFormat="1" applyFont="1" applyBorder="1" applyAlignment="1">
      <alignment horizontal="left" wrapText="1"/>
    </xf>
    <xf numFmtId="43" fontId="2" fillId="2" borderId="16" xfId="0" applyNumberFormat="1" applyFont="1" applyFill="1" applyBorder="1"/>
    <xf numFmtId="0" fontId="9" fillId="6" borderId="12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43" fontId="2" fillId="0" borderId="0" xfId="0" applyNumberFormat="1" applyFont="1"/>
    <xf numFmtId="0" fontId="9" fillId="6" borderId="12" xfId="0" applyFont="1" applyFill="1" applyBorder="1"/>
    <xf numFmtId="0" fontId="1" fillId="0" borderId="9" xfId="0" applyFont="1" applyBorder="1" applyAlignment="1">
      <alignment horizontal="center"/>
    </xf>
    <xf numFmtId="0" fontId="9" fillId="6" borderId="12" xfId="0" applyFont="1" applyFill="1" applyBorder="1" applyAlignment="1">
      <alignment horizontal="center" vertical="top" wrapText="1"/>
    </xf>
    <xf numFmtId="9" fontId="13" fillId="0" borderId="9" xfId="0" applyNumberFormat="1" applyFont="1" applyBorder="1" applyAlignment="1">
      <alignment horizontal="center"/>
    </xf>
    <xf numFmtId="168" fontId="12" fillId="0" borderId="0" xfId="0" applyNumberFormat="1" applyFont="1" applyAlignment="1">
      <alignment horizontal="center"/>
    </xf>
    <xf numFmtId="0" fontId="9" fillId="6" borderId="2" xfId="0" applyFont="1" applyFill="1" applyBorder="1"/>
    <xf numFmtId="9" fontId="13" fillId="0" borderId="17" xfId="0" applyNumberFormat="1" applyFont="1" applyBorder="1" applyAlignment="1">
      <alignment horizontal="center"/>
    </xf>
    <xf numFmtId="169" fontId="12" fillId="0" borderId="0" xfId="0" applyNumberFormat="1" applyFont="1" applyAlignment="1">
      <alignment horizontal="left"/>
    </xf>
    <xf numFmtId="9" fontId="13" fillId="0" borderId="16" xfId="0" applyNumberFormat="1" applyFont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12" fillId="0" borderId="14" xfId="0" applyFont="1" applyBorder="1" applyAlignment="1">
      <alignment wrapText="1"/>
    </xf>
    <xf numFmtId="9" fontId="14" fillId="0" borderId="18" xfId="0" applyNumberFormat="1" applyFont="1" applyBorder="1" applyAlignment="1">
      <alignment horizontal="center"/>
    </xf>
    <xf numFmtId="167" fontId="2" fillId="7" borderId="16" xfId="0" applyNumberFormat="1" applyFont="1" applyFill="1" applyBorder="1"/>
    <xf numFmtId="9" fontId="14" fillId="0" borderId="16" xfId="0" applyNumberFormat="1" applyFont="1" applyBorder="1" applyAlignment="1">
      <alignment horizontal="center"/>
    </xf>
    <xf numFmtId="10" fontId="14" fillId="0" borderId="22" xfId="0" applyNumberFormat="1" applyFont="1" applyBorder="1" applyAlignment="1">
      <alignment horizontal="center"/>
    </xf>
    <xf numFmtId="170" fontId="15" fillId="0" borderId="0" xfId="0" applyNumberFormat="1" applyFont="1" applyAlignment="1">
      <alignment horizontal="left"/>
    </xf>
    <xf numFmtId="9" fontId="14" fillId="0" borderId="22" xfId="0" applyNumberFormat="1" applyFont="1" applyBorder="1" applyAlignment="1">
      <alignment horizontal="center"/>
    </xf>
    <xf numFmtId="167" fontId="2" fillId="7" borderId="16" xfId="0" applyNumberFormat="1" applyFont="1" applyFill="1" applyBorder="1" applyAlignment="1">
      <alignment horizontal="right"/>
    </xf>
    <xf numFmtId="0" fontId="8" fillId="0" borderId="16" xfId="0" applyFont="1" applyBorder="1" applyAlignment="1">
      <alignment horizontal="center"/>
    </xf>
    <xf numFmtId="0" fontId="12" fillId="0" borderId="14" xfId="0" applyFont="1" applyBorder="1" applyAlignment="1">
      <alignment horizontal="left"/>
    </xf>
    <xf numFmtId="9" fontId="14" fillId="0" borderId="23" xfId="0" applyNumberFormat="1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8" fillId="0" borderId="22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17" xfId="0" applyFont="1" applyBorder="1" applyAlignment="1">
      <alignment horizontal="center"/>
    </xf>
    <xf numFmtId="0" fontId="8" fillId="0" borderId="17" xfId="0" applyFont="1" applyBorder="1" applyAlignment="1">
      <alignment horizontal="center" wrapText="1"/>
    </xf>
    <xf numFmtId="170" fontId="2" fillId="7" borderId="16" xfId="0" applyNumberFormat="1" applyFont="1" applyFill="1" applyBorder="1"/>
    <xf numFmtId="0" fontId="12" fillId="0" borderId="14" xfId="0" applyFont="1" applyBorder="1" applyAlignment="1">
      <alignment horizontal="left" wrapText="1"/>
    </xf>
    <xf numFmtId="0" fontId="8" fillId="0" borderId="16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170" fontId="2" fillId="7" borderId="16" xfId="0" applyNumberFormat="1" applyFont="1" applyFill="1" applyBorder="1" applyAlignment="1">
      <alignment horizontal="left"/>
    </xf>
    <xf numFmtId="0" fontId="8" fillId="0" borderId="19" xfId="0" applyFont="1" applyBorder="1" applyAlignment="1">
      <alignment horizontal="center" wrapText="1"/>
    </xf>
    <xf numFmtId="0" fontId="18" fillId="8" borderId="24" xfId="0" applyFont="1" applyFill="1" applyBorder="1" applyAlignment="1">
      <alignment horizontal="center"/>
    </xf>
    <xf numFmtId="4" fontId="8" fillId="0" borderId="9" xfId="0" applyNumberFormat="1" applyFont="1" applyBorder="1" applyAlignment="1">
      <alignment horizontal="center" wrapText="1"/>
    </xf>
    <xf numFmtId="0" fontId="18" fillId="8" borderId="25" xfId="0" applyFont="1" applyFill="1" applyBorder="1" applyAlignment="1">
      <alignment horizontal="center"/>
    </xf>
    <xf numFmtId="170" fontId="19" fillId="7" borderId="16" xfId="0" applyNumberFormat="1" applyFont="1" applyFill="1" applyBorder="1" applyAlignment="1">
      <alignment horizontal="left"/>
    </xf>
    <xf numFmtId="4" fontId="8" fillId="0" borderId="18" xfId="0" applyNumberFormat="1" applyFont="1" applyBorder="1" applyAlignment="1">
      <alignment horizontal="center" wrapText="1"/>
    </xf>
    <xf numFmtId="0" fontId="18" fillId="8" borderId="26" xfId="0" applyFont="1" applyFill="1" applyBorder="1" applyAlignment="1">
      <alignment horizontal="center"/>
    </xf>
    <xf numFmtId="0" fontId="8" fillId="0" borderId="22" xfId="0" applyFont="1" applyBorder="1" applyAlignment="1">
      <alignment horizontal="center" wrapText="1"/>
    </xf>
    <xf numFmtId="0" fontId="4" fillId="0" borderId="27" xfId="0" applyFont="1" applyBorder="1"/>
    <xf numFmtId="170" fontId="9" fillId="7" borderId="16" xfId="0" applyNumberFormat="1" applyFont="1" applyFill="1" applyBorder="1" applyAlignment="1">
      <alignment horizontal="left"/>
    </xf>
    <xf numFmtId="0" fontId="20" fillId="0" borderId="9" xfId="0" applyFont="1" applyBorder="1" applyAlignment="1">
      <alignment horizontal="center" wrapText="1"/>
    </xf>
    <xf numFmtId="170" fontId="21" fillId="0" borderId="16" xfId="0" applyNumberFormat="1" applyFont="1" applyBorder="1" applyAlignment="1">
      <alignment horizontal="center"/>
    </xf>
    <xf numFmtId="170" fontId="22" fillId="7" borderId="16" xfId="0" applyNumberFormat="1" applyFont="1" applyFill="1" applyBorder="1" applyAlignment="1">
      <alignment horizontal="left"/>
    </xf>
    <xf numFmtId="4" fontId="20" fillId="0" borderId="9" xfId="0" applyNumberFormat="1" applyFont="1" applyBorder="1" applyAlignment="1">
      <alignment horizontal="center" wrapText="1"/>
    </xf>
    <xf numFmtId="0" fontId="4" fillId="0" borderId="16" xfId="0" applyFont="1" applyBorder="1"/>
    <xf numFmtId="170" fontId="22" fillId="3" borderId="16" xfId="0" applyNumberFormat="1" applyFont="1" applyFill="1" applyBorder="1" applyAlignment="1">
      <alignment horizontal="left"/>
    </xf>
    <xf numFmtId="49" fontId="22" fillId="7" borderId="16" xfId="0" applyNumberFormat="1" applyFont="1" applyFill="1" applyBorder="1" applyAlignment="1">
      <alignment horizontal="left"/>
    </xf>
    <xf numFmtId="3" fontId="1" fillId="0" borderId="28" xfId="0" applyNumberFormat="1" applyFont="1" applyBorder="1" applyAlignment="1">
      <alignment horizontal="center"/>
    </xf>
    <xf numFmtId="170" fontId="23" fillId="0" borderId="29" xfId="0" applyNumberFormat="1" applyFont="1" applyBorder="1" applyAlignment="1">
      <alignment horizontal="center"/>
    </xf>
    <xf numFmtId="0" fontId="1" fillId="0" borderId="30" xfId="0" applyFont="1" applyBorder="1"/>
    <xf numFmtId="0" fontId="1" fillId="0" borderId="30" xfId="0" applyFont="1" applyBorder="1" applyAlignment="1">
      <alignment horizontal="center"/>
    </xf>
    <xf numFmtId="170" fontId="24" fillId="7" borderId="16" xfId="0" applyNumberFormat="1" applyFont="1" applyFill="1" applyBorder="1" applyAlignment="1">
      <alignment horizontal="left"/>
    </xf>
    <xf numFmtId="0" fontId="1" fillId="0" borderId="28" xfId="0" applyFont="1" applyBorder="1" applyAlignment="1">
      <alignment horizontal="center"/>
    </xf>
    <xf numFmtId="0" fontId="2" fillId="7" borderId="16" xfId="0" applyFont="1" applyFill="1" applyBorder="1" applyAlignment="1">
      <alignment horizontal="left"/>
    </xf>
    <xf numFmtId="0" fontId="1" fillId="0" borderId="23" xfId="0" applyFont="1" applyBorder="1"/>
    <xf numFmtId="0" fontId="1" fillId="0" borderId="14" xfId="0" applyFont="1" applyBorder="1"/>
    <xf numFmtId="0" fontId="25" fillId="0" borderId="0" xfId="0" applyFont="1"/>
    <xf numFmtId="0" fontId="26" fillId="0" borderId="31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0" fontId="27" fillId="0" borderId="18" xfId="0" applyFont="1" applyBorder="1" applyAlignment="1">
      <alignment horizontal="center" wrapText="1"/>
    </xf>
    <xf numFmtId="0" fontId="26" fillId="0" borderId="18" xfId="0" applyFont="1" applyBorder="1" applyAlignment="1">
      <alignment horizontal="center"/>
    </xf>
    <xf numFmtId="0" fontId="26" fillId="0" borderId="18" xfId="0" applyFont="1" applyBorder="1" applyAlignment="1">
      <alignment horizontal="center" wrapText="1"/>
    </xf>
    <xf numFmtId="0" fontId="26" fillId="0" borderId="16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0" fontId="26" fillId="0" borderId="19" xfId="0" applyFont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0" borderId="18" xfId="0" applyFont="1" applyBorder="1" applyAlignment="1">
      <alignment horizontal="center" wrapText="1"/>
    </xf>
    <xf numFmtId="3" fontId="26" fillId="0" borderId="28" xfId="0" applyNumberFormat="1" applyFont="1" applyBorder="1" applyAlignment="1">
      <alignment horizontal="center"/>
    </xf>
    <xf numFmtId="3" fontId="26" fillId="0" borderId="16" xfId="0" applyNumberFormat="1" applyFont="1" applyBorder="1" applyAlignment="1">
      <alignment horizontal="center"/>
    </xf>
    <xf numFmtId="3" fontId="26" fillId="0" borderId="30" xfId="0" applyNumberFormat="1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170" fontId="29" fillId="0" borderId="16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30" fillId="0" borderId="29" xfId="0" applyFont="1" applyBorder="1" applyAlignment="1">
      <alignment horizontal="center" wrapText="1"/>
    </xf>
    <xf numFmtId="0" fontId="1" fillId="4" borderId="2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4" fontId="25" fillId="4" borderId="16" xfId="0" applyNumberFormat="1" applyFont="1" applyFill="1" applyBorder="1" applyAlignment="1">
      <alignment horizontal="center"/>
    </xf>
    <xf numFmtId="4" fontId="1" fillId="4" borderId="16" xfId="0" applyNumberFormat="1" applyFont="1" applyFill="1" applyBorder="1" applyAlignment="1">
      <alignment horizontal="center"/>
    </xf>
    <xf numFmtId="0" fontId="4" fillId="9" borderId="16" xfId="0" applyFont="1" applyFill="1" applyBorder="1"/>
    <xf numFmtId="170" fontId="1" fillId="4" borderId="16" xfId="0" applyNumberFormat="1" applyFont="1" applyFill="1" applyBorder="1" applyAlignment="1">
      <alignment horizontal="center"/>
    </xf>
    <xf numFmtId="170" fontId="23" fillId="10" borderId="29" xfId="0" applyNumberFormat="1" applyFont="1" applyFill="1" applyBorder="1" applyAlignment="1">
      <alignment horizontal="center"/>
    </xf>
    <xf numFmtId="4" fontId="1" fillId="4" borderId="32" xfId="0" applyNumberFormat="1" applyFont="1" applyFill="1" applyBorder="1" applyAlignment="1">
      <alignment horizontal="center"/>
    </xf>
    <xf numFmtId="4" fontId="1" fillId="4" borderId="35" xfId="0" applyNumberFormat="1" applyFont="1" applyFill="1" applyBorder="1" applyAlignment="1">
      <alignment horizontal="center"/>
    </xf>
    <xf numFmtId="4" fontId="1" fillId="4" borderId="38" xfId="0" applyNumberFormat="1" applyFont="1" applyFill="1" applyBorder="1" applyAlignment="1">
      <alignment horizontal="center"/>
    </xf>
    <xf numFmtId="4" fontId="1" fillId="4" borderId="41" xfId="0" applyNumberFormat="1" applyFont="1" applyFill="1" applyBorder="1" applyAlignment="1">
      <alignment horizontal="center"/>
    </xf>
    <xf numFmtId="170" fontId="2" fillId="0" borderId="0" xfId="0" applyNumberFormat="1" applyFont="1"/>
    <xf numFmtId="170" fontId="1" fillId="4" borderId="38" xfId="0" applyNumberFormat="1" applyFont="1" applyFill="1" applyBorder="1" applyAlignment="1">
      <alignment horizontal="center"/>
    </xf>
    <xf numFmtId="0" fontId="2" fillId="0" borderId="42" xfId="0" applyFont="1" applyBorder="1"/>
    <xf numFmtId="0" fontId="2" fillId="0" borderId="43" xfId="0" applyFont="1" applyBorder="1"/>
    <xf numFmtId="4" fontId="1" fillId="4" borderId="44" xfId="0" applyNumberFormat="1" applyFont="1" applyFill="1" applyBorder="1" applyAlignment="1">
      <alignment horizontal="center"/>
    </xf>
    <xf numFmtId="0" fontId="2" fillId="0" borderId="45" xfId="0" applyFont="1" applyBorder="1"/>
    <xf numFmtId="0" fontId="37" fillId="0" borderId="0" xfId="0" applyFont="1" applyAlignment="1">
      <alignment horizontal="right"/>
    </xf>
    <xf numFmtId="3" fontId="1" fillId="4" borderId="16" xfId="0" applyNumberFormat="1" applyFont="1" applyFill="1" applyBorder="1" applyAlignment="1">
      <alignment horizontal="center"/>
    </xf>
    <xf numFmtId="0" fontId="1" fillId="0" borderId="9" xfId="0" applyFont="1" applyBorder="1"/>
    <xf numFmtId="0" fontId="1" fillId="0" borderId="11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0" xfId="0" applyFont="1" applyBorder="1"/>
    <xf numFmtId="0" fontId="1" fillId="0" borderId="21" xfId="0" applyFont="1" applyBorder="1"/>
    <xf numFmtId="0" fontId="1" fillId="0" borderId="8" xfId="0" applyFont="1" applyBorder="1"/>
    <xf numFmtId="0" fontId="1" fillId="0" borderId="16" xfId="0" applyFont="1" applyBorder="1"/>
    <xf numFmtId="0" fontId="1" fillId="0" borderId="9" xfId="0" applyFont="1" applyBorder="1" applyAlignment="1">
      <alignment horizontal="right"/>
    </xf>
    <xf numFmtId="0" fontId="1" fillId="0" borderId="22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28" xfId="0" applyFont="1" applyBorder="1"/>
    <xf numFmtId="0" fontId="28" fillId="0" borderId="18" xfId="0" applyFont="1" applyBorder="1" applyAlignment="1">
      <alignment horizontal="center"/>
    </xf>
    <xf numFmtId="0" fontId="30" fillId="0" borderId="11" xfId="0" applyFont="1" applyBorder="1" applyAlignment="1">
      <alignment horizontal="center" wrapText="1"/>
    </xf>
    <xf numFmtId="0" fontId="1" fillId="3" borderId="2" xfId="0" applyFont="1" applyFill="1" applyBorder="1"/>
    <xf numFmtId="0" fontId="1" fillId="3" borderId="31" xfId="0" applyFont="1" applyFill="1" applyBorder="1"/>
    <xf numFmtId="0" fontId="1" fillId="3" borderId="16" xfId="0" applyFont="1" applyFill="1" applyBorder="1" applyAlignment="1">
      <alignment horizontal="center"/>
    </xf>
    <xf numFmtId="0" fontId="1" fillId="3" borderId="16" xfId="0" applyFont="1" applyFill="1" applyBorder="1"/>
    <xf numFmtId="4" fontId="8" fillId="3" borderId="16" xfId="0" applyNumberFormat="1" applyFont="1" applyFill="1" applyBorder="1" applyAlignment="1">
      <alignment horizontal="center"/>
    </xf>
    <xf numFmtId="170" fontId="8" fillId="3" borderId="16" xfId="0" applyNumberFormat="1" applyFont="1" applyFill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6" xfId="0" applyNumberFormat="1" applyFont="1" applyFill="1" applyBorder="1"/>
    <xf numFmtId="170" fontId="1" fillId="3" borderId="16" xfId="0" applyNumberFormat="1" applyFont="1" applyFill="1" applyBorder="1" applyAlignment="1">
      <alignment horizontal="center"/>
    </xf>
    <xf numFmtId="4" fontId="1" fillId="3" borderId="32" xfId="0" applyNumberFormat="1" applyFont="1" applyFill="1" applyBorder="1" applyAlignment="1">
      <alignment horizontal="center"/>
    </xf>
    <xf numFmtId="4" fontId="1" fillId="3" borderId="35" xfId="0" applyNumberFormat="1" applyFont="1" applyFill="1" applyBorder="1" applyAlignment="1">
      <alignment horizontal="center"/>
    </xf>
    <xf numFmtId="4" fontId="1" fillId="3" borderId="38" xfId="0" applyNumberFormat="1" applyFont="1" applyFill="1" applyBorder="1" applyAlignment="1">
      <alignment horizontal="center"/>
    </xf>
    <xf numFmtId="4" fontId="1" fillId="3" borderId="41" xfId="0" applyNumberFormat="1" applyFont="1" applyFill="1" applyBorder="1" applyAlignment="1">
      <alignment horizontal="center"/>
    </xf>
    <xf numFmtId="170" fontId="8" fillId="3" borderId="38" xfId="0" applyNumberFormat="1" applyFont="1" applyFill="1" applyBorder="1" applyAlignment="1">
      <alignment horizontal="center"/>
    </xf>
    <xf numFmtId="4" fontId="1" fillId="3" borderId="44" xfId="0" applyNumberFormat="1" applyFont="1" applyFill="1" applyBorder="1" applyAlignment="1">
      <alignment horizontal="center"/>
    </xf>
    <xf numFmtId="0" fontId="1" fillId="0" borderId="31" xfId="0" applyFont="1" applyBorder="1"/>
    <xf numFmtId="0" fontId="1" fillId="4" borderId="16" xfId="0" applyFont="1" applyFill="1" applyBorder="1"/>
    <xf numFmtId="4" fontId="8" fillId="4" borderId="16" xfId="0" applyNumberFormat="1" applyFont="1" applyFill="1" applyBorder="1" applyAlignment="1">
      <alignment horizontal="center"/>
    </xf>
    <xf numFmtId="170" fontId="8" fillId="11" borderId="16" xfId="0" applyNumberFormat="1" applyFont="1" applyFill="1" applyBorder="1" applyAlignment="1">
      <alignment horizontal="center"/>
    </xf>
    <xf numFmtId="4" fontId="1" fillId="4" borderId="16" xfId="0" applyNumberFormat="1" applyFont="1" applyFill="1" applyBorder="1"/>
    <xf numFmtId="170" fontId="8" fillId="4" borderId="38" xfId="0" applyNumberFormat="1" applyFont="1" applyFill="1" applyBorder="1" applyAlignment="1">
      <alignment horizontal="center"/>
    </xf>
    <xf numFmtId="0" fontId="38" fillId="4" borderId="2" xfId="0" applyFont="1" applyFill="1" applyBorder="1"/>
    <xf numFmtId="0" fontId="39" fillId="4" borderId="2" xfId="0" applyFont="1" applyFill="1" applyBorder="1"/>
    <xf numFmtId="0" fontId="40" fillId="0" borderId="0" xfId="0" applyFont="1"/>
    <xf numFmtId="4" fontId="1" fillId="13" borderId="16" xfId="0" applyNumberFormat="1" applyFont="1" applyFill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0" fontId="43" fillId="12" borderId="16" xfId="0" applyFont="1" applyFill="1" applyBorder="1"/>
    <xf numFmtId="0" fontId="40" fillId="12" borderId="16" xfId="0" applyFont="1" applyFill="1" applyBorder="1"/>
    <xf numFmtId="0" fontId="40" fillId="0" borderId="16" xfId="0" applyFont="1" applyBorder="1"/>
    <xf numFmtId="0" fontId="44" fillId="0" borderId="0" xfId="0" applyFont="1"/>
    <xf numFmtId="4" fontId="1" fillId="0" borderId="16" xfId="0" applyNumberFormat="1" applyFont="1" applyBorder="1"/>
    <xf numFmtId="0" fontId="43" fillId="12" borderId="16" xfId="0" applyFont="1" applyFill="1" applyBorder="1" applyAlignment="1">
      <alignment wrapText="1"/>
    </xf>
    <xf numFmtId="0" fontId="44" fillId="0" borderId="16" xfId="0" applyFont="1" applyBorder="1"/>
    <xf numFmtId="171" fontId="44" fillId="0" borderId="16" xfId="0" applyNumberFormat="1" applyFont="1" applyBorder="1"/>
    <xf numFmtId="43" fontId="44" fillId="0" borderId="16" xfId="0" applyNumberFormat="1" applyFont="1" applyBorder="1"/>
    <xf numFmtId="0" fontId="2" fillId="5" borderId="1" xfId="0" applyFont="1" applyFill="1" applyBorder="1" applyAlignment="1">
      <alignment horizontal="center"/>
    </xf>
    <xf numFmtId="0" fontId="5" fillId="0" borderId="7" xfId="0" applyFont="1" applyBorder="1"/>
    <xf numFmtId="49" fontId="2" fillId="5" borderId="1" xfId="0" applyNumberFormat="1" applyFont="1" applyFill="1" applyBorder="1"/>
    <xf numFmtId="0" fontId="5" fillId="0" borderId="6" xfId="0" applyFont="1" applyBorder="1"/>
    <xf numFmtId="0" fontId="31" fillId="0" borderId="13" xfId="0" applyFont="1" applyBorder="1" applyAlignment="1">
      <alignment horizontal="center"/>
    </xf>
    <xf numFmtId="0" fontId="0" fillId="0" borderId="0" xfId="0"/>
    <xf numFmtId="0" fontId="5" fillId="0" borderId="14" xfId="0" applyFont="1" applyBorder="1"/>
    <xf numFmtId="170" fontId="34" fillId="0" borderId="13" xfId="0" applyNumberFormat="1" applyFont="1" applyBorder="1" applyAlignment="1">
      <alignment horizontal="center"/>
    </xf>
    <xf numFmtId="170" fontId="35" fillId="0" borderId="13" xfId="0" applyNumberFormat="1" applyFont="1" applyBorder="1" applyAlignment="1">
      <alignment horizontal="center" vertical="center"/>
    </xf>
    <xf numFmtId="0" fontId="5" fillId="0" borderId="13" xfId="0" applyFont="1" applyBorder="1"/>
    <xf numFmtId="0" fontId="31" fillId="0" borderId="0" xfId="0" applyFont="1" applyAlignment="1">
      <alignment horizontal="center"/>
    </xf>
    <xf numFmtId="0" fontId="2" fillId="0" borderId="13" xfId="0" applyFont="1" applyBorder="1"/>
    <xf numFmtId="0" fontId="2" fillId="0" borderId="0" xfId="0" applyFont="1"/>
    <xf numFmtId="0" fontId="36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10" fillId="0" borderId="13" xfId="0" applyFont="1" applyBorder="1" applyAlignment="1">
      <alignment horizontal="center"/>
    </xf>
    <xf numFmtId="168" fontId="11" fillId="0" borderId="0" xfId="0" applyNumberFormat="1" applyFont="1" applyAlignment="1">
      <alignment horizontal="left" wrapText="1"/>
    </xf>
    <xf numFmtId="0" fontId="31" fillId="4" borderId="33" xfId="0" applyFont="1" applyFill="1" applyBorder="1" applyAlignment="1">
      <alignment vertical="center"/>
    </xf>
    <xf numFmtId="0" fontId="5" fillId="0" borderId="37" xfId="0" applyFont="1" applyBorder="1"/>
    <xf numFmtId="170" fontId="32" fillId="4" borderId="11" xfId="0" applyNumberFormat="1" applyFont="1" applyFill="1" applyBorder="1" applyAlignment="1">
      <alignment horizontal="center" vertical="center"/>
    </xf>
    <xf numFmtId="0" fontId="5" fillId="0" borderId="39" xfId="0" applyFont="1" applyBorder="1"/>
    <xf numFmtId="0" fontId="31" fillId="4" borderId="34" xfId="0" applyFont="1" applyFill="1" applyBorder="1" applyAlignment="1">
      <alignment vertical="center"/>
    </xf>
    <xf numFmtId="170" fontId="33" fillId="0" borderId="36" xfId="0" applyNumberFormat="1" applyFont="1" applyBorder="1" applyAlignment="1">
      <alignment horizontal="center" vertical="center"/>
    </xf>
    <xf numFmtId="0" fontId="5" fillId="0" borderId="40" xfId="0" applyFont="1" applyBorder="1"/>
    <xf numFmtId="0" fontId="8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8" fillId="0" borderId="9" xfId="0" applyFont="1" applyBorder="1" applyAlignment="1">
      <alignment horizontal="center"/>
    </xf>
    <xf numFmtId="0" fontId="5" fillId="0" borderId="15" xfId="0" applyFont="1" applyBorder="1"/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5" fillId="0" borderId="19" xfId="0" applyFont="1" applyBorder="1"/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46" xfId="0" applyFont="1" applyBorder="1"/>
    <xf numFmtId="0" fontId="41" fillId="12" borderId="47" xfId="0" applyFont="1" applyFill="1" applyBorder="1" applyAlignment="1">
      <alignment horizontal="center" wrapText="1"/>
    </xf>
    <xf numFmtId="0" fontId="5" fillId="0" borderId="48" xfId="0" applyFont="1" applyBorder="1"/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/>
    <xf numFmtId="0" fontId="5" fillId="0" borderId="52" xfId="0" applyFont="1" applyBorder="1"/>
    <xf numFmtId="0" fontId="4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533400</xdr:rowOff>
    </xdr:from>
    <xdr:ext cx="11430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"/>
  <sheetViews>
    <sheetView tabSelected="1" workbookViewId="0">
      <pane ySplit="3" topLeftCell="A4" activePane="bottomLeft" state="frozen"/>
      <selection pane="bottomLeft" activeCell="AF40" sqref="AF40"/>
    </sheetView>
  </sheetViews>
  <sheetFormatPr defaultColWidth="12.5703125" defaultRowHeight="15" customHeight="1"/>
  <cols>
    <col min="1" max="1" width="6.42578125" customWidth="1"/>
    <col min="2" max="2" width="31.42578125" customWidth="1"/>
    <col min="3" max="3" width="34.5703125" bestFit="1" customWidth="1"/>
    <col min="4" max="4" width="10.85546875" customWidth="1"/>
    <col min="5" max="5" width="13.7109375" bestFit="1" customWidth="1"/>
    <col min="6" max="6" width="16" bestFit="1" customWidth="1"/>
    <col min="7" max="7" width="19.7109375" bestFit="1" customWidth="1"/>
    <col min="8" max="8" width="9.7109375" customWidth="1"/>
    <col min="9" max="9" width="13.28515625" bestFit="1" customWidth="1"/>
    <col min="10" max="10" width="11.85546875" customWidth="1"/>
    <col min="11" max="13" width="11.5703125" customWidth="1"/>
    <col min="14" max="14" width="12.85546875" customWidth="1"/>
    <col min="15" max="15" width="10.42578125" customWidth="1"/>
    <col min="16" max="16" width="10.28515625" customWidth="1"/>
    <col min="17" max="17" width="12" customWidth="1"/>
    <col min="18" max="18" width="11.28515625" bestFit="1" customWidth="1"/>
    <col min="19" max="19" width="9.5703125" customWidth="1"/>
    <col min="20" max="20" width="7.85546875" customWidth="1"/>
    <col min="21" max="21" width="7" bestFit="1" customWidth="1"/>
    <col min="22" max="22" width="18.42578125" customWidth="1"/>
    <col min="23" max="23" width="10.7109375" customWidth="1"/>
    <col min="24" max="24" width="9.5703125" customWidth="1"/>
    <col min="25" max="25" width="22.42578125" customWidth="1"/>
    <col min="26" max="26" width="12" customWidth="1"/>
    <col min="27" max="27" width="17" customWidth="1"/>
    <col min="28" max="28" width="22.28515625" customWidth="1"/>
    <col min="29" max="29" width="15.42578125" bestFit="1" customWidth="1"/>
    <col min="30" max="30" width="17.42578125" bestFit="1" customWidth="1"/>
    <col min="31" max="31" width="18.5703125" bestFit="1" customWidth="1"/>
    <col min="32" max="32" width="9.85546875" bestFit="1" customWidth="1"/>
    <col min="33" max="33" width="7.5703125" customWidth="1"/>
    <col min="34" max="34" width="9.140625" customWidth="1"/>
    <col min="35" max="35" width="8.42578125" customWidth="1"/>
  </cols>
  <sheetData>
    <row r="1" spans="1:35" ht="15.75" customHeight="1">
      <c r="A1" s="2">
        <v>6</v>
      </c>
      <c r="B1" s="4">
        <f>112000/56</f>
        <v>2000</v>
      </c>
      <c r="C1" s="7">
        <v>45960</v>
      </c>
      <c r="D1" s="4"/>
      <c r="E1" s="4"/>
      <c r="F1" s="186">
        <f>$G$2-$F$2+1</f>
        <v>30</v>
      </c>
      <c r="G1" s="187"/>
      <c r="H1" s="4"/>
      <c r="I1" s="4"/>
      <c r="J1" s="4"/>
      <c r="K1" s="4"/>
      <c r="L1" s="4"/>
      <c r="M1" s="16"/>
      <c r="N1" s="4"/>
      <c r="O1" s="20">
        <v>0</v>
      </c>
      <c r="P1" s="24"/>
      <c r="Q1" s="188" t="s">
        <v>23</v>
      </c>
      <c r="R1" s="189"/>
      <c r="S1" s="187"/>
      <c r="T1" s="24"/>
      <c r="U1" s="24"/>
      <c r="V1" s="24"/>
      <c r="W1" s="24"/>
      <c r="X1" s="24"/>
      <c r="Y1" s="24" t="s">
        <v>24</v>
      </c>
      <c r="Z1" s="1">
        <f>21000/700</f>
        <v>30</v>
      </c>
      <c r="AA1" s="24"/>
      <c r="AB1" s="24"/>
      <c r="AC1" s="24"/>
      <c r="AD1" s="24"/>
      <c r="AE1" s="24"/>
      <c r="AF1" s="24"/>
      <c r="AG1" s="24"/>
      <c r="AH1" s="3"/>
    </row>
    <row r="2" spans="1:35" ht="13.5" customHeight="1">
      <c r="A2" s="2"/>
      <c r="B2" s="4"/>
      <c r="C2" s="4"/>
      <c r="D2" s="4"/>
      <c r="E2" s="4"/>
      <c r="F2" s="32">
        <v>45901</v>
      </c>
      <c r="G2" s="32">
        <v>45930</v>
      </c>
      <c r="H2" s="4"/>
      <c r="I2" s="4"/>
      <c r="J2" s="4"/>
      <c r="K2" s="4"/>
      <c r="L2" s="4"/>
      <c r="M2" s="16"/>
      <c r="N2" s="4"/>
      <c r="O2" s="20">
        <v>0</v>
      </c>
      <c r="P2" s="20"/>
      <c r="Q2" s="24"/>
      <c r="R2" s="24"/>
      <c r="S2" s="24"/>
      <c r="T2" s="24"/>
      <c r="U2" s="24"/>
      <c r="V2" s="24"/>
      <c r="W2" s="24"/>
      <c r="X2" s="24"/>
      <c r="Y2" s="24" t="s">
        <v>28</v>
      </c>
      <c r="Z2" s="24"/>
      <c r="AA2" s="24"/>
      <c r="AB2" s="24"/>
      <c r="AC2" s="24"/>
      <c r="AD2" s="24"/>
      <c r="AE2" s="24"/>
      <c r="AF2" s="24"/>
      <c r="AG2" s="24"/>
      <c r="AH2" s="3"/>
    </row>
    <row r="3" spans="1:35" ht="33.75" customHeight="1">
      <c r="A3" s="36" t="s">
        <v>29</v>
      </c>
      <c r="B3" s="39" t="s">
        <v>30</v>
      </c>
      <c r="C3" s="39" t="s">
        <v>34</v>
      </c>
      <c r="D3" s="39" t="s">
        <v>35</v>
      </c>
      <c r="E3" s="39" t="s">
        <v>36</v>
      </c>
      <c r="F3" s="41" t="s">
        <v>37</v>
      </c>
      <c r="G3" s="39" t="s">
        <v>40</v>
      </c>
      <c r="H3" s="39" t="s">
        <v>41</v>
      </c>
      <c r="I3" s="39" t="s">
        <v>42</v>
      </c>
      <c r="J3" s="39" t="s">
        <v>43</v>
      </c>
      <c r="K3" s="39" t="s">
        <v>44</v>
      </c>
      <c r="L3" s="39" t="s">
        <v>45</v>
      </c>
      <c r="M3" s="39" t="s">
        <v>46</v>
      </c>
      <c r="N3" s="39" t="s">
        <v>47</v>
      </c>
      <c r="O3" s="39" t="s">
        <v>48</v>
      </c>
      <c r="P3" s="39" t="s">
        <v>49</v>
      </c>
      <c r="Q3" s="44" t="s">
        <v>50</v>
      </c>
      <c r="R3" s="44" t="s">
        <v>12</v>
      </c>
      <c r="S3" s="44" t="s">
        <v>53</v>
      </c>
      <c r="T3" s="44" t="s">
        <v>54</v>
      </c>
      <c r="U3" s="44" t="s">
        <v>13</v>
      </c>
      <c r="V3" s="44" t="s">
        <v>55</v>
      </c>
      <c r="W3" s="44" t="s">
        <v>56</v>
      </c>
      <c r="X3" s="44" t="s">
        <v>57</v>
      </c>
      <c r="Y3" s="44" t="s">
        <v>59</v>
      </c>
      <c r="Z3" s="44" t="s">
        <v>60</v>
      </c>
      <c r="AA3" s="14" t="s">
        <v>61</v>
      </c>
      <c r="AB3" s="44" t="s">
        <v>62</v>
      </c>
      <c r="AC3" s="44" t="s">
        <v>63</v>
      </c>
      <c r="AD3" s="39" t="s">
        <v>64</v>
      </c>
      <c r="AE3" s="39" t="s">
        <v>65</v>
      </c>
      <c r="AF3" s="39" t="s">
        <v>66</v>
      </c>
      <c r="AG3" s="12" t="s">
        <v>67</v>
      </c>
      <c r="AH3" s="12" t="s">
        <v>69</v>
      </c>
      <c r="AI3" s="12" t="s">
        <v>70</v>
      </c>
    </row>
    <row r="4" spans="1:35" ht="15.75" customHeight="1">
      <c r="A4" s="48">
        <v>1</v>
      </c>
      <c r="B4" s="21" t="s">
        <v>73</v>
      </c>
      <c r="C4" s="21" t="s">
        <v>74</v>
      </c>
      <c r="D4" s="21" t="s">
        <v>75</v>
      </c>
      <c r="E4" s="51">
        <v>45628</v>
      </c>
      <c r="F4" s="51">
        <f t="shared" ref="F4:F5" si="0">$F$2</f>
        <v>45901</v>
      </c>
      <c r="G4" s="56">
        <f t="shared" ref="G4:G43" si="1">$G$2</f>
        <v>45930</v>
      </c>
      <c r="H4" s="65" t="str">
        <f t="shared" ref="H4:H15" si="2">G4-F4+1&amp;" DAYS"</f>
        <v>30 DAYS</v>
      </c>
      <c r="I4" s="65">
        <f t="shared" ref="I4:I54" si="3">30%*N4</f>
        <v>81000</v>
      </c>
      <c r="J4" s="69">
        <f t="shared" ref="J4:J54" si="4">30%*N4</f>
        <v>81000</v>
      </c>
      <c r="K4" s="69">
        <f t="shared" ref="K4:K54" si="5">20%*N4</f>
        <v>54000</v>
      </c>
      <c r="L4" s="69">
        <f t="shared" ref="L4:L54" si="6">10%*N4</f>
        <v>27000</v>
      </c>
      <c r="M4" s="69">
        <f t="shared" ref="M4:M54" si="7">10%*N4</f>
        <v>27000</v>
      </c>
      <c r="N4" s="69">
        <f>(270000/$F$1*(G4-F4+1))</f>
        <v>270000</v>
      </c>
      <c r="O4" s="74">
        <v>25000</v>
      </c>
      <c r="P4" s="74">
        <v>0</v>
      </c>
      <c r="Q4" s="79">
        <f t="shared" ref="Q4:Q54" si="8">SUM(N4:P4)</f>
        <v>295000</v>
      </c>
      <c r="R4" s="82">
        <f t="shared" ref="R4:R8" si="9">8%*(SUM(I4:K4))</f>
        <v>17280</v>
      </c>
      <c r="S4" s="82" t="s">
        <v>108</v>
      </c>
      <c r="T4" s="82">
        <v>0</v>
      </c>
      <c r="U4" s="82">
        <v>0</v>
      </c>
      <c r="V4" s="82">
        <v>0</v>
      </c>
      <c r="W4" s="82">
        <v>0</v>
      </c>
      <c r="X4" s="85">
        <v>0</v>
      </c>
      <c r="Y4" s="86" t="s">
        <v>109</v>
      </c>
      <c r="Z4" s="82">
        <f t="shared" ref="Z4:Z54" si="10">SUM(R4:X4)</f>
        <v>17280</v>
      </c>
      <c r="AA4" s="91">
        <f t="shared" ref="AA4:AA54" si="11">Q4-Z4</f>
        <v>277720</v>
      </c>
      <c r="AB4" s="93" t="s">
        <v>115</v>
      </c>
      <c r="AC4" s="93">
        <v>3849201756</v>
      </c>
      <c r="AD4" s="93" t="s">
        <v>117</v>
      </c>
      <c r="AE4" s="93" t="s">
        <v>118</v>
      </c>
      <c r="AF4" s="93" t="s">
        <v>119</v>
      </c>
      <c r="AG4" s="93">
        <v>600000</v>
      </c>
      <c r="AH4" s="93">
        <f t="shared" ref="AH4:AH54" si="12">LEN(AC4)</f>
        <v>10</v>
      </c>
      <c r="AI4" s="93">
        <f t="shared" ref="AI4:AI54" si="13">LEN(AE4)</f>
        <v>15</v>
      </c>
    </row>
    <row r="5" spans="1:35" ht="15.75" customHeight="1">
      <c r="A5" s="48">
        <f t="shared" ref="A5:A54" si="14">IF(B5="","",A4+1)</f>
        <v>2</v>
      </c>
      <c r="B5" s="21" t="s">
        <v>125</v>
      </c>
      <c r="C5" s="21" t="s">
        <v>126</v>
      </c>
      <c r="D5" s="21" t="s">
        <v>127</v>
      </c>
      <c r="E5" s="51">
        <v>45845</v>
      </c>
      <c r="F5" s="51">
        <f t="shared" si="0"/>
        <v>45901</v>
      </c>
      <c r="G5" s="56">
        <f t="shared" si="1"/>
        <v>45930</v>
      </c>
      <c r="H5" s="65" t="str">
        <f t="shared" si="2"/>
        <v>30 DAYS</v>
      </c>
      <c r="I5" s="65">
        <f t="shared" si="3"/>
        <v>24000</v>
      </c>
      <c r="J5" s="69">
        <f t="shared" si="4"/>
        <v>24000</v>
      </c>
      <c r="K5" s="69">
        <f t="shared" si="5"/>
        <v>16000</v>
      </c>
      <c r="L5" s="69">
        <f t="shared" si="6"/>
        <v>8000</v>
      </c>
      <c r="M5" s="69">
        <f t="shared" si="7"/>
        <v>8000</v>
      </c>
      <c r="N5" s="69">
        <f>(80000/$F$1*(G5-F5+1))</f>
        <v>80000</v>
      </c>
      <c r="O5" s="74">
        <f t="shared" ref="O5:O9" si="15">$O$1</f>
        <v>0</v>
      </c>
      <c r="P5" s="74">
        <v>0</v>
      </c>
      <c r="Q5" s="79">
        <f t="shared" si="8"/>
        <v>80000</v>
      </c>
      <c r="R5" s="82">
        <f t="shared" si="9"/>
        <v>5120</v>
      </c>
      <c r="S5" s="82" t="s">
        <v>141</v>
      </c>
      <c r="T5" s="82">
        <v>0</v>
      </c>
      <c r="U5" s="82">
        <v>0</v>
      </c>
      <c r="V5" s="82">
        <v>0</v>
      </c>
      <c r="W5" s="82">
        <v>0</v>
      </c>
      <c r="X5" s="85">
        <v>0</v>
      </c>
      <c r="Y5" s="86" t="s">
        <v>109</v>
      </c>
      <c r="Z5" s="82">
        <f t="shared" si="10"/>
        <v>5120</v>
      </c>
      <c r="AA5" s="91">
        <f t="shared" si="11"/>
        <v>74880</v>
      </c>
      <c r="AB5" s="93" t="s">
        <v>142</v>
      </c>
      <c r="AC5" s="93">
        <v>7293846150</v>
      </c>
      <c r="AD5" s="93" t="s">
        <v>117</v>
      </c>
      <c r="AE5" s="93" t="s">
        <v>118</v>
      </c>
      <c r="AF5" s="93" t="s">
        <v>143</v>
      </c>
      <c r="AG5" s="93">
        <v>300000</v>
      </c>
      <c r="AH5" s="93">
        <f t="shared" si="12"/>
        <v>10</v>
      </c>
      <c r="AI5" s="93">
        <f t="shared" si="13"/>
        <v>15</v>
      </c>
    </row>
    <row r="6" spans="1:35" ht="15.75" customHeight="1">
      <c r="A6" s="48">
        <f t="shared" si="14"/>
        <v>3</v>
      </c>
      <c r="B6" s="21" t="s">
        <v>145</v>
      </c>
      <c r="C6" s="21" t="s">
        <v>147</v>
      </c>
      <c r="D6" s="21" t="s">
        <v>148</v>
      </c>
      <c r="E6" s="51">
        <v>45896</v>
      </c>
      <c r="F6" s="51">
        <v>45915</v>
      </c>
      <c r="G6" s="56">
        <f t="shared" si="1"/>
        <v>45930</v>
      </c>
      <c r="H6" s="65" t="str">
        <f t="shared" si="2"/>
        <v>16 DAYS</v>
      </c>
      <c r="I6" s="65">
        <f t="shared" si="3"/>
        <v>52000</v>
      </c>
      <c r="J6" s="69">
        <f t="shared" si="4"/>
        <v>52000</v>
      </c>
      <c r="K6" s="69">
        <f t="shared" si="5"/>
        <v>34666.666666666672</v>
      </c>
      <c r="L6" s="69">
        <f t="shared" si="6"/>
        <v>17333.333333333336</v>
      </c>
      <c r="M6" s="69">
        <f t="shared" si="7"/>
        <v>17333.333333333336</v>
      </c>
      <c r="N6" s="69">
        <f>(325000/$F$1*(G6-F6+1))</f>
        <v>173333.33333333334</v>
      </c>
      <c r="O6" s="74">
        <f t="shared" si="15"/>
        <v>0</v>
      </c>
      <c r="P6" s="74">
        <v>0</v>
      </c>
      <c r="Q6" s="79">
        <f t="shared" si="8"/>
        <v>173333.33333333334</v>
      </c>
      <c r="R6" s="82">
        <f t="shared" si="9"/>
        <v>11093.333333333336</v>
      </c>
      <c r="S6" s="82" t="s">
        <v>151</v>
      </c>
      <c r="T6" s="82">
        <v>0</v>
      </c>
      <c r="U6" s="82">
        <v>0</v>
      </c>
      <c r="V6" s="82">
        <v>0</v>
      </c>
      <c r="W6" s="82">
        <v>0</v>
      </c>
      <c r="X6" s="85">
        <v>0</v>
      </c>
      <c r="Y6" s="86" t="s">
        <v>109</v>
      </c>
      <c r="Z6" s="82">
        <f t="shared" si="10"/>
        <v>11093.333333333336</v>
      </c>
      <c r="AA6" s="91">
        <f t="shared" si="11"/>
        <v>162240</v>
      </c>
      <c r="AB6" s="93" t="s">
        <v>152</v>
      </c>
      <c r="AC6" s="93">
        <v>1059384726</v>
      </c>
      <c r="AD6" s="93" t="s">
        <v>117</v>
      </c>
      <c r="AE6" s="93" t="s">
        <v>118</v>
      </c>
      <c r="AF6" s="93" t="s">
        <v>153</v>
      </c>
      <c r="AG6" s="93">
        <v>300000</v>
      </c>
      <c r="AH6" s="93">
        <f t="shared" si="12"/>
        <v>10</v>
      </c>
      <c r="AI6" s="93">
        <f t="shared" si="13"/>
        <v>15</v>
      </c>
    </row>
    <row r="7" spans="1:35" ht="15.75" customHeight="1">
      <c r="A7" s="48">
        <f t="shared" si="14"/>
        <v>4</v>
      </c>
      <c r="B7" s="21" t="s">
        <v>154</v>
      </c>
      <c r="C7" s="21" t="s">
        <v>155</v>
      </c>
      <c r="D7" s="21" t="s">
        <v>156</v>
      </c>
      <c r="E7" s="51">
        <v>45798</v>
      </c>
      <c r="F7" s="51">
        <f t="shared" ref="F7:F54" si="16">$F$2</f>
        <v>45901</v>
      </c>
      <c r="G7" s="56">
        <f t="shared" si="1"/>
        <v>45930</v>
      </c>
      <c r="H7" s="65" t="str">
        <f t="shared" si="2"/>
        <v>30 DAYS</v>
      </c>
      <c r="I7" s="65">
        <f t="shared" si="3"/>
        <v>54000</v>
      </c>
      <c r="J7" s="69">
        <f t="shared" si="4"/>
        <v>54000</v>
      </c>
      <c r="K7" s="69">
        <f t="shared" si="5"/>
        <v>36000</v>
      </c>
      <c r="L7" s="69">
        <f t="shared" si="6"/>
        <v>18000</v>
      </c>
      <c r="M7" s="69">
        <f t="shared" si="7"/>
        <v>18000</v>
      </c>
      <c r="N7" s="69">
        <f>(180000/$F$1*(G7-F7+1))</f>
        <v>180000</v>
      </c>
      <c r="O7" s="74">
        <f t="shared" si="15"/>
        <v>0</v>
      </c>
      <c r="P7" s="74">
        <v>0</v>
      </c>
      <c r="Q7" s="79">
        <f t="shared" si="8"/>
        <v>180000</v>
      </c>
      <c r="R7" s="82">
        <f t="shared" si="9"/>
        <v>11520</v>
      </c>
      <c r="S7" s="82" t="s">
        <v>159</v>
      </c>
      <c r="T7" s="82">
        <v>0</v>
      </c>
      <c r="U7" s="82">
        <v>0</v>
      </c>
      <c r="V7" s="82">
        <v>0</v>
      </c>
      <c r="W7" s="82">
        <v>0</v>
      </c>
      <c r="X7" s="85">
        <v>0</v>
      </c>
      <c r="Y7" s="86" t="s">
        <v>109</v>
      </c>
      <c r="Z7" s="82">
        <f t="shared" si="10"/>
        <v>11520</v>
      </c>
      <c r="AA7" s="91">
        <f t="shared" si="11"/>
        <v>168480</v>
      </c>
      <c r="AB7" s="93" t="s">
        <v>142</v>
      </c>
      <c r="AC7" s="93">
        <v>4928375610</v>
      </c>
      <c r="AD7" s="93" t="s">
        <v>117</v>
      </c>
      <c r="AE7" s="93" t="s">
        <v>118</v>
      </c>
      <c r="AF7" s="93" t="s">
        <v>161</v>
      </c>
      <c r="AG7" s="93">
        <v>300000</v>
      </c>
      <c r="AH7" s="93">
        <f t="shared" si="12"/>
        <v>10</v>
      </c>
      <c r="AI7" s="93">
        <f t="shared" si="13"/>
        <v>15</v>
      </c>
    </row>
    <row r="8" spans="1:35" ht="15.75" customHeight="1">
      <c r="A8" s="48">
        <f t="shared" si="14"/>
        <v>5</v>
      </c>
      <c r="B8" s="21" t="s">
        <v>162</v>
      </c>
      <c r="C8" s="21" t="s">
        <v>163</v>
      </c>
      <c r="D8" s="21" t="s">
        <v>164</v>
      </c>
      <c r="E8" s="51">
        <v>45761</v>
      </c>
      <c r="F8" s="51">
        <f t="shared" si="16"/>
        <v>45901</v>
      </c>
      <c r="G8" s="56">
        <f t="shared" si="1"/>
        <v>45930</v>
      </c>
      <c r="H8" s="65" t="str">
        <f t="shared" si="2"/>
        <v>30 DAYS</v>
      </c>
      <c r="I8" s="65">
        <f t="shared" si="3"/>
        <v>45000</v>
      </c>
      <c r="J8" s="69">
        <f t="shared" si="4"/>
        <v>45000</v>
      </c>
      <c r="K8" s="69">
        <f t="shared" si="5"/>
        <v>30000</v>
      </c>
      <c r="L8" s="69">
        <f t="shared" si="6"/>
        <v>15000</v>
      </c>
      <c r="M8" s="69">
        <f t="shared" si="7"/>
        <v>15000</v>
      </c>
      <c r="N8" s="69">
        <f>(150000/$F$1*(G8-F8+1))</f>
        <v>150000</v>
      </c>
      <c r="O8" s="74">
        <f t="shared" si="15"/>
        <v>0</v>
      </c>
      <c r="P8" s="74">
        <v>0</v>
      </c>
      <c r="Q8" s="79">
        <f t="shared" si="8"/>
        <v>150000</v>
      </c>
      <c r="R8" s="82">
        <f t="shared" si="9"/>
        <v>9600</v>
      </c>
      <c r="S8" s="82" t="s">
        <v>165</v>
      </c>
      <c r="T8" s="82">
        <v>0</v>
      </c>
      <c r="U8" s="82">
        <v>0</v>
      </c>
      <c r="V8" s="82">
        <v>0</v>
      </c>
      <c r="W8" s="82">
        <v>0</v>
      </c>
      <c r="X8" s="85">
        <v>0</v>
      </c>
      <c r="Y8" s="86" t="s">
        <v>109</v>
      </c>
      <c r="Z8" s="82">
        <f t="shared" si="10"/>
        <v>9600</v>
      </c>
      <c r="AA8" s="91">
        <f t="shared" si="11"/>
        <v>140400</v>
      </c>
      <c r="AB8" s="93" t="s">
        <v>142</v>
      </c>
      <c r="AC8" s="93">
        <v>8372619405</v>
      </c>
      <c r="AD8" s="93" t="s">
        <v>117</v>
      </c>
      <c r="AE8" s="93" t="s">
        <v>118</v>
      </c>
      <c r="AF8" s="93" t="s">
        <v>167</v>
      </c>
      <c r="AG8" s="93">
        <v>300000</v>
      </c>
      <c r="AH8" s="93">
        <f t="shared" si="12"/>
        <v>10</v>
      </c>
      <c r="AI8" s="93">
        <f t="shared" si="13"/>
        <v>15</v>
      </c>
    </row>
    <row r="9" spans="1:35" ht="15.75" customHeight="1">
      <c r="A9" s="48">
        <f t="shared" si="14"/>
        <v>6</v>
      </c>
      <c r="B9" s="21" t="s">
        <v>168</v>
      </c>
      <c r="C9" s="21" t="s">
        <v>169</v>
      </c>
      <c r="D9" s="21" t="s">
        <v>170</v>
      </c>
      <c r="E9" s="51">
        <v>45489</v>
      </c>
      <c r="F9" s="51">
        <f t="shared" si="16"/>
        <v>45901</v>
      </c>
      <c r="G9" s="56">
        <f t="shared" si="1"/>
        <v>45930</v>
      </c>
      <c r="H9" s="65" t="str">
        <f t="shared" si="2"/>
        <v>30 DAYS</v>
      </c>
      <c r="I9" s="65">
        <f t="shared" si="3"/>
        <v>81000</v>
      </c>
      <c r="J9" s="69">
        <f t="shared" si="4"/>
        <v>81000</v>
      </c>
      <c r="K9" s="69">
        <f t="shared" si="5"/>
        <v>54000</v>
      </c>
      <c r="L9" s="69">
        <f t="shared" si="6"/>
        <v>27000</v>
      </c>
      <c r="M9" s="69">
        <f t="shared" si="7"/>
        <v>27000</v>
      </c>
      <c r="N9" s="69">
        <f>(270000/$F$1*(G9-F9+1))</f>
        <v>270000</v>
      </c>
      <c r="O9" s="74">
        <f t="shared" si="15"/>
        <v>0</v>
      </c>
      <c r="P9" s="74">
        <v>0</v>
      </c>
      <c r="Q9" s="79">
        <f t="shared" si="8"/>
        <v>270000</v>
      </c>
      <c r="R9" s="82">
        <v>0</v>
      </c>
      <c r="S9" s="82" t="s">
        <v>172</v>
      </c>
      <c r="T9" s="82">
        <v>0</v>
      </c>
      <c r="U9" s="82">
        <v>0</v>
      </c>
      <c r="V9" s="82">
        <v>0</v>
      </c>
      <c r="W9" s="82">
        <v>0</v>
      </c>
      <c r="X9" s="85">
        <v>0</v>
      </c>
      <c r="Y9" s="86" t="s">
        <v>109</v>
      </c>
      <c r="Z9" s="82">
        <f t="shared" si="10"/>
        <v>0</v>
      </c>
      <c r="AA9" s="91">
        <f t="shared" si="11"/>
        <v>270000</v>
      </c>
      <c r="AB9" s="93" t="s">
        <v>115</v>
      </c>
      <c r="AC9" s="93">
        <v>9182736450</v>
      </c>
      <c r="AD9" s="93" t="s">
        <v>117</v>
      </c>
      <c r="AE9" s="93" t="s">
        <v>118</v>
      </c>
      <c r="AF9" s="93" t="s">
        <v>173</v>
      </c>
      <c r="AG9" s="93">
        <v>500000</v>
      </c>
      <c r="AH9" s="93">
        <f t="shared" si="12"/>
        <v>10</v>
      </c>
      <c r="AI9" s="93">
        <f t="shared" si="13"/>
        <v>15</v>
      </c>
    </row>
    <row r="10" spans="1:35" ht="15.75" customHeight="1">
      <c r="A10" s="48">
        <f t="shared" si="14"/>
        <v>7</v>
      </c>
      <c r="B10" s="21" t="s">
        <v>174</v>
      </c>
      <c r="C10" s="21" t="s">
        <v>175</v>
      </c>
      <c r="D10" s="21" t="s">
        <v>176</v>
      </c>
      <c r="E10" s="51">
        <v>45495</v>
      </c>
      <c r="F10" s="51">
        <f t="shared" si="16"/>
        <v>45901</v>
      </c>
      <c r="G10" s="56">
        <f t="shared" si="1"/>
        <v>45930</v>
      </c>
      <c r="H10" s="65" t="str">
        <f t="shared" si="2"/>
        <v>30 DAYS</v>
      </c>
      <c r="I10" s="65">
        <f t="shared" si="3"/>
        <v>36000</v>
      </c>
      <c r="J10" s="69">
        <f t="shared" si="4"/>
        <v>36000</v>
      </c>
      <c r="K10" s="69">
        <f t="shared" si="5"/>
        <v>24000</v>
      </c>
      <c r="L10" s="69">
        <f t="shared" si="6"/>
        <v>12000</v>
      </c>
      <c r="M10" s="69">
        <f t="shared" si="7"/>
        <v>12000</v>
      </c>
      <c r="N10" s="69">
        <f>(120000/$F$1*(G10-F10+1))</f>
        <v>120000</v>
      </c>
      <c r="O10" s="74">
        <v>0</v>
      </c>
      <c r="P10" s="74">
        <v>0</v>
      </c>
      <c r="Q10" s="79">
        <f t="shared" si="8"/>
        <v>120000</v>
      </c>
      <c r="R10" s="82">
        <v>0</v>
      </c>
      <c r="S10" s="82" t="s">
        <v>177</v>
      </c>
      <c r="T10" s="82">
        <v>0</v>
      </c>
      <c r="U10" s="82">
        <v>0</v>
      </c>
      <c r="V10" s="82">
        <v>0</v>
      </c>
      <c r="W10" s="82">
        <v>0</v>
      </c>
      <c r="X10" s="85">
        <v>0</v>
      </c>
      <c r="Y10" s="86" t="s">
        <v>109</v>
      </c>
      <c r="Z10" s="82">
        <f t="shared" si="10"/>
        <v>0</v>
      </c>
      <c r="AA10" s="91">
        <f t="shared" si="11"/>
        <v>120000</v>
      </c>
      <c r="AB10" s="93" t="s">
        <v>178</v>
      </c>
      <c r="AC10" s="93">
        <v>2039485761</v>
      </c>
      <c r="AD10" s="93" t="s">
        <v>117</v>
      </c>
      <c r="AE10" s="93" t="s">
        <v>118</v>
      </c>
      <c r="AF10" s="93" t="s">
        <v>180</v>
      </c>
      <c r="AG10" s="93">
        <v>300000</v>
      </c>
      <c r="AH10" s="93">
        <f t="shared" si="12"/>
        <v>10</v>
      </c>
      <c r="AI10" s="93">
        <f t="shared" si="13"/>
        <v>15</v>
      </c>
    </row>
    <row r="11" spans="1:35" ht="15.75" customHeight="1">
      <c r="A11" s="48">
        <f t="shared" si="14"/>
        <v>8</v>
      </c>
      <c r="B11" s="21" t="s">
        <v>181</v>
      </c>
      <c r="C11" s="21" t="s">
        <v>182</v>
      </c>
      <c r="D11" s="21" t="s">
        <v>183</v>
      </c>
      <c r="E11" s="51">
        <v>44816</v>
      </c>
      <c r="F11" s="51">
        <f t="shared" si="16"/>
        <v>45901</v>
      </c>
      <c r="G11" s="56">
        <f t="shared" si="1"/>
        <v>45930</v>
      </c>
      <c r="H11" s="65" t="str">
        <f t="shared" si="2"/>
        <v>30 DAYS</v>
      </c>
      <c r="I11" s="65">
        <f t="shared" si="3"/>
        <v>24000</v>
      </c>
      <c r="J11" s="69">
        <f t="shared" si="4"/>
        <v>24000</v>
      </c>
      <c r="K11" s="69">
        <f t="shared" si="5"/>
        <v>16000</v>
      </c>
      <c r="L11" s="69">
        <f t="shared" si="6"/>
        <v>8000</v>
      </c>
      <c r="M11" s="69">
        <f t="shared" si="7"/>
        <v>8000</v>
      </c>
      <c r="N11" s="69">
        <f t="shared" ref="N11:N13" si="17">(80000/$F$1*(G11-F11+1))</f>
        <v>80000</v>
      </c>
      <c r="O11" s="74">
        <v>0</v>
      </c>
      <c r="P11" s="74">
        <v>0</v>
      </c>
      <c r="Q11" s="79">
        <f t="shared" si="8"/>
        <v>80000</v>
      </c>
      <c r="R11" s="82">
        <v>0</v>
      </c>
      <c r="S11" s="82" t="s">
        <v>184</v>
      </c>
      <c r="T11" s="82">
        <v>0</v>
      </c>
      <c r="U11" s="82">
        <v>0</v>
      </c>
      <c r="V11" s="82">
        <v>0</v>
      </c>
      <c r="W11" s="82">
        <v>0</v>
      </c>
      <c r="X11" s="85">
        <v>0</v>
      </c>
      <c r="Y11" s="86" t="s">
        <v>109</v>
      </c>
      <c r="Z11" s="82">
        <f t="shared" si="10"/>
        <v>0</v>
      </c>
      <c r="AA11" s="91">
        <f t="shared" si="11"/>
        <v>80000</v>
      </c>
      <c r="AB11" s="93" t="s">
        <v>142</v>
      </c>
      <c r="AC11" s="93">
        <v>6574839201</v>
      </c>
      <c r="AD11" s="93" t="s">
        <v>117</v>
      </c>
      <c r="AE11" s="93" t="s">
        <v>118</v>
      </c>
      <c r="AF11" s="93" t="s">
        <v>185</v>
      </c>
      <c r="AG11" s="93">
        <v>300000</v>
      </c>
      <c r="AH11" s="93">
        <f t="shared" si="12"/>
        <v>10</v>
      </c>
      <c r="AI11" s="93">
        <f t="shared" si="13"/>
        <v>15</v>
      </c>
    </row>
    <row r="12" spans="1:35" ht="15.75" customHeight="1">
      <c r="A12" s="48">
        <f t="shared" si="14"/>
        <v>9</v>
      </c>
      <c r="B12" s="21" t="s">
        <v>186</v>
      </c>
      <c r="C12" s="21" t="s">
        <v>187</v>
      </c>
      <c r="D12" s="21" t="s">
        <v>188</v>
      </c>
      <c r="E12" s="51">
        <v>45544</v>
      </c>
      <c r="F12" s="51">
        <f t="shared" si="16"/>
        <v>45901</v>
      </c>
      <c r="G12" s="56">
        <f t="shared" si="1"/>
        <v>45930</v>
      </c>
      <c r="H12" s="65" t="str">
        <f t="shared" si="2"/>
        <v>30 DAYS</v>
      </c>
      <c r="I12" s="65">
        <f t="shared" si="3"/>
        <v>24000</v>
      </c>
      <c r="J12" s="69">
        <f t="shared" si="4"/>
        <v>24000</v>
      </c>
      <c r="K12" s="69">
        <f t="shared" si="5"/>
        <v>16000</v>
      </c>
      <c r="L12" s="69">
        <f t="shared" si="6"/>
        <v>8000</v>
      </c>
      <c r="M12" s="69">
        <f t="shared" si="7"/>
        <v>8000</v>
      </c>
      <c r="N12" s="69">
        <f t="shared" si="17"/>
        <v>80000</v>
      </c>
      <c r="O12" s="74">
        <v>0</v>
      </c>
      <c r="P12" s="74">
        <v>0</v>
      </c>
      <c r="Q12" s="79">
        <f t="shared" si="8"/>
        <v>80000</v>
      </c>
      <c r="R12" s="82">
        <v>0</v>
      </c>
      <c r="S12" s="82" t="s">
        <v>184</v>
      </c>
      <c r="T12" s="82">
        <v>0</v>
      </c>
      <c r="U12" s="82">
        <v>0</v>
      </c>
      <c r="V12" s="82">
        <v>0</v>
      </c>
      <c r="W12" s="82">
        <v>0</v>
      </c>
      <c r="X12" s="85">
        <v>0</v>
      </c>
      <c r="Y12" s="86" t="s">
        <v>109</v>
      </c>
      <c r="Z12" s="82">
        <f t="shared" si="10"/>
        <v>0</v>
      </c>
      <c r="AA12" s="91">
        <f t="shared" si="11"/>
        <v>80000</v>
      </c>
      <c r="AB12" s="93" t="s">
        <v>115</v>
      </c>
      <c r="AC12" s="93">
        <v>3847561920</v>
      </c>
      <c r="AD12" s="93" t="s">
        <v>117</v>
      </c>
      <c r="AE12" s="93" t="s">
        <v>118</v>
      </c>
      <c r="AF12" s="93" t="s">
        <v>189</v>
      </c>
      <c r="AG12" s="93">
        <v>300000</v>
      </c>
      <c r="AH12" s="93">
        <f t="shared" si="12"/>
        <v>10</v>
      </c>
      <c r="AI12" s="93">
        <f t="shared" si="13"/>
        <v>15</v>
      </c>
    </row>
    <row r="13" spans="1:35" ht="15.75" customHeight="1">
      <c r="A13" s="48">
        <f t="shared" si="14"/>
        <v>10</v>
      </c>
      <c r="B13" s="21" t="s">
        <v>190</v>
      </c>
      <c r="C13" s="21" t="s">
        <v>191</v>
      </c>
      <c r="D13" s="21" t="s">
        <v>192</v>
      </c>
      <c r="E13" s="51">
        <v>45628</v>
      </c>
      <c r="F13" s="51">
        <f t="shared" si="16"/>
        <v>45901</v>
      </c>
      <c r="G13" s="56">
        <f t="shared" si="1"/>
        <v>45930</v>
      </c>
      <c r="H13" s="65" t="str">
        <f t="shared" si="2"/>
        <v>30 DAYS</v>
      </c>
      <c r="I13" s="65">
        <f t="shared" si="3"/>
        <v>24000</v>
      </c>
      <c r="J13" s="69">
        <f t="shared" si="4"/>
        <v>24000</v>
      </c>
      <c r="K13" s="69">
        <f t="shared" si="5"/>
        <v>16000</v>
      </c>
      <c r="L13" s="69">
        <f t="shared" si="6"/>
        <v>8000</v>
      </c>
      <c r="M13" s="69">
        <f t="shared" si="7"/>
        <v>8000</v>
      </c>
      <c r="N13" s="69">
        <f t="shared" si="17"/>
        <v>80000</v>
      </c>
      <c r="O13" s="74">
        <v>0</v>
      </c>
      <c r="P13" s="74">
        <v>0</v>
      </c>
      <c r="Q13" s="79">
        <f t="shared" si="8"/>
        <v>80000</v>
      </c>
      <c r="R13" s="82">
        <v>0</v>
      </c>
      <c r="S13" s="82" t="s">
        <v>184</v>
      </c>
      <c r="T13" s="82">
        <v>0</v>
      </c>
      <c r="U13" s="82">
        <v>0</v>
      </c>
      <c r="V13" s="82">
        <v>0</v>
      </c>
      <c r="W13" s="82">
        <v>0</v>
      </c>
      <c r="X13" s="85">
        <v>0</v>
      </c>
      <c r="Y13" s="86" t="s">
        <v>109</v>
      </c>
      <c r="Z13" s="82">
        <f t="shared" si="10"/>
        <v>0</v>
      </c>
      <c r="AA13" s="91">
        <f t="shared" si="11"/>
        <v>80000</v>
      </c>
      <c r="AB13" s="93" t="s">
        <v>142</v>
      </c>
      <c r="AC13" s="93">
        <v>7461928305</v>
      </c>
      <c r="AD13" s="93" t="s">
        <v>117</v>
      </c>
      <c r="AE13" s="93" t="s">
        <v>118</v>
      </c>
      <c r="AF13" s="93" t="s">
        <v>195</v>
      </c>
      <c r="AG13" s="93">
        <v>300000</v>
      </c>
      <c r="AH13" s="93">
        <f t="shared" si="12"/>
        <v>10</v>
      </c>
      <c r="AI13" s="93">
        <f t="shared" si="13"/>
        <v>15</v>
      </c>
    </row>
    <row r="14" spans="1:35" ht="15.75" customHeight="1">
      <c r="A14" s="48">
        <f t="shared" si="14"/>
        <v>11</v>
      </c>
      <c r="B14" s="21" t="s">
        <v>196</v>
      </c>
      <c r="C14" s="21" t="s">
        <v>197</v>
      </c>
      <c r="D14" s="21" t="s">
        <v>198</v>
      </c>
      <c r="E14" s="51">
        <v>43502</v>
      </c>
      <c r="F14" s="51">
        <f t="shared" si="16"/>
        <v>45901</v>
      </c>
      <c r="G14" s="56">
        <f t="shared" si="1"/>
        <v>45930</v>
      </c>
      <c r="H14" s="65" t="str">
        <f t="shared" si="2"/>
        <v>30 DAYS</v>
      </c>
      <c r="I14" s="65">
        <f t="shared" si="3"/>
        <v>36000</v>
      </c>
      <c r="J14" s="69">
        <f t="shared" si="4"/>
        <v>36000</v>
      </c>
      <c r="K14" s="69">
        <f t="shared" si="5"/>
        <v>24000</v>
      </c>
      <c r="L14" s="69">
        <f t="shared" si="6"/>
        <v>12000</v>
      </c>
      <c r="M14" s="69">
        <f t="shared" si="7"/>
        <v>12000</v>
      </c>
      <c r="N14" s="69">
        <f>(120000/$F$1*(G14-F14+1))</f>
        <v>120000</v>
      </c>
      <c r="O14" s="74">
        <v>0</v>
      </c>
      <c r="P14" s="74">
        <v>0</v>
      </c>
      <c r="Q14" s="79">
        <f t="shared" si="8"/>
        <v>120000</v>
      </c>
      <c r="R14" s="82">
        <v>0</v>
      </c>
      <c r="S14" s="82" t="s">
        <v>177</v>
      </c>
      <c r="T14" s="82">
        <v>0</v>
      </c>
      <c r="U14" s="82">
        <v>0</v>
      </c>
      <c r="V14" s="82">
        <v>0</v>
      </c>
      <c r="W14" s="82">
        <v>50000</v>
      </c>
      <c r="X14" s="85">
        <v>0</v>
      </c>
      <c r="Y14" s="86" t="s">
        <v>109</v>
      </c>
      <c r="Z14" s="82">
        <f t="shared" si="10"/>
        <v>50000</v>
      </c>
      <c r="AA14" s="91">
        <f t="shared" si="11"/>
        <v>70000</v>
      </c>
      <c r="AB14" s="93" t="s">
        <v>142</v>
      </c>
      <c r="AC14" s="93">
        <v>5829301746</v>
      </c>
      <c r="AD14" s="93" t="s">
        <v>117</v>
      </c>
      <c r="AE14" s="93" t="s">
        <v>118</v>
      </c>
      <c r="AF14" s="93" t="s">
        <v>200</v>
      </c>
      <c r="AG14" s="93">
        <v>300000</v>
      </c>
      <c r="AH14" s="93">
        <f t="shared" si="12"/>
        <v>10</v>
      </c>
      <c r="AI14" s="93">
        <f t="shared" si="13"/>
        <v>15</v>
      </c>
    </row>
    <row r="15" spans="1:35" ht="15.75" customHeight="1">
      <c r="A15" s="48">
        <f t="shared" si="14"/>
        <v>12</v>
      </c>
      <c r="B15" s="21" t="s">
        <v>201</v>
      </c>
      <c r="C15" s="21" t="s">
        <v>202</v>
      </c>
      <c r="D15" s="21" t="s">
        <v>203</v>
      </c>
      <c r="E15" s="51">
        <v>45530</v>
      </c>
      <c r="F15" s="51">
        <f t="shared" si="16"/>
        <v>45901</v>
      </c>
      <c r="G15" s="56">
        <f t="shared" si="1"/>
        <v>45930</v>
      </c>
      <c r="H15" s="65" t="str">
        <f t="shared" si="2"/>
        <v>30 DAYS</v>
      </c>
      <c r="I15" s="65">
        <f t="shared" si="3"/>
        <v>24000</v>
      </c>
      <c r="J15" s="69">
        <f t="shared" si="4"/>
        <v>24000</v>
      </c>
      <c r="K15" s="69">
        <f t="shared" si="5"/>
        <v>16000</v>
      </c>
      <c r="L15" s="69">
        <f t="shared" si="6"/>
        <v>8000</v>
      </c>
      <c r="M15" s="69">
        <f t="shared" si="7"/>
        <v>8000</v>
      </c>
      <c r="N15" s="69">
        <f t="shared" ref="N15:N41" si="18">(80000/$F$1*(G15-F15+1))</f>
        <v>80000</v>
      </c>
      <c r="O15" s="74">
        <v>0</v>
      </c>
      <c r="P15" s="74">
        <v>0</v>
      </c>
      <c r="Q15" s="79">
        <f t="shared" si="8"/>
        <v>80000</v>
      </c>
      <c r="R15" s="82">
        <v>0</v>
      </c>
      <c r="S15" s="82">
        <v>0</v>
      </c>
      <c r="T15" s="82">
        <v>0</v>
      </c>
      <c r="U15" s="82">
        <v>0</v>
      </c>
      <c r="V15" s="82">
        <v>0</v>
      </c>
      <c r="W15" s="82">
        <v>0</v>
      </c>
      <c r="X15" s="85">
        <v>0</v>
      </c>
      <c r="Y15" s="86" t="s">
        <v>109</v>
      </c>
      <c r="Z15" s="82">
        <f t="shared" si="10"/>
        <v>0</v>
      </c>
      <c r="AA15" s="91">
        <f t="shared" si="11"/>
        <v>80000</v>
      </c>
      <c r="AB15" s="93" t="s">
        <v>142</v>
      </c>
      <c r="AC15" s="93">
        <v>1092837465</v>
      </c>
      <c r="AD15" s="93" t="s">
        <v>117</v>
      </c>
      <c r="AE15" s="93" t="s">
        <v>118</v>
      </c>
      <c r="AF15" s="93" t="s">
        <v>204</v>
      </c>
      <c r="AG15" s="93">
        <v>300000</v>
      </c>
      <c r="AH15" s="93">
        <f t="shared" si="12"/>
        <v>10</v>
      </c>
      <c r="AI15" s="93">
        <f t="shared" si="13"/>
        <v>15</v>
      </c>
    </row>
    <row r="16" spans="1:35" ht="15.75" customHeight="1">
      <c r="A16" s="48">
        <f t="shared" si="14"/>
        <v>13</v>
      </c>
      <c r="B16" s="21" t="s">
        <v>205</v>
      </c>
      <c r="C16" s="21" t="s">
        <v>202</v>
      </c>
      <c r="D16" s="21" t="s">
        <v>206</v>
      </c>
      <c r="E16" s="51">
        <v>45728</v>
      </c>
      <c r="F16" s="51">
        <f t="shared" si="16"/>
        <v>45901</v>
      </c>
      <c r="G16" s="56">
        <f t="shared" si="1"/>
        <v>45930</v>
      </c>
      <c r="H16" s="65" t="str">
        <f>G16-F16&amp;" DAYS"</f>
        <v>29 DAYS</v>
      </c>
      <c r="I16" s="65">
        <f t="shared" si="3"/>
        <v>24000</v>
      </c>
      <c r="J16" s="69">
        <f t="shared" si="4"/>
        <v>24000</v>
      </c>
      <c r="K16" s="69">
        <f t="shared" si="5"/>
        <v>16000</v>
      </c>
      <c r="L16" s="69">
        <f t="shared" si="6"/>
        <v>8000</v>
      </c>
      <c r="M16" s="69">
        <f t="shared" si="7"/>
        <v>8000</v>
      </c>
      <c r="N16" s="69">
        <f t="shared" si="18"/>
        <v>80000</v>
      </c>
      <c r="O16" s="74">
        <v>0</v>
      </c>
      <c r="P16" s="74">
        <v>0</v>
      </c>
      <c r="Q16" s="79">
        <f t="shared" si="8"/>
        <v>80000</v>
      </c>
      <c r="R16" s="82">
        <v>0</v>
      </c>
      <c r="S16" s="82">
        <v>0</v>
      </c>
      <c r="T16" s="82">
        <v>0</v>
      </c>
      <c r="U16" s="82">
        <v>0</v>
      </c>
      <c r="V16" s="82">
        <v>0</v>
      </c>
      <c r="W16" s="82">
        <v>0</v>
      </c>
      <c r="X16" s="85">
        <v>0</v>
      </c>
      <c r="Y16" s="86" t="s">
        <v>109</v>
      </c>
      <c r="Z16" s="82">
        <f t="shared" si="10"/>
        <v>0</v>
      </c>
      <c r="AA16" s="91">
        <f t="shared" si="11"/>
        <v>80000</v>
      </c>
      <c r="AB16" s="93" t="s">
        <v>142</v>
      </c>
      <c r="AC16" s="93">
        <v>8473629105</v>
      </c>
      <c r="AD16" s="93" t="s">
        <v>117</v>
      </c>
      <c r="AE16" s="93" t="s">
        <v>118</v>
      </c>
      <c r="AF16" s="93" t="s">
        <v>207</v>
      </c>
      <c r="AG16" s="93">
        <v>300000</v>
      </c>
      <c r="AH16" s="93">
        <f t="shared" si="12"/>
        <v>10</v>
      </c>
      <c r="AI16" s="93">
        <f t="shared" si="13"/>
        <v>15</v>
      </c>
    </row>
    <row r="17" spans="1:35" ht="15.75" customHeight="1">
      <c r="A17" s="48">
        <f t="shared" si="14"/>
        <v>14</v>
      </c>
      <c r="B17" s="21" t="s">
        <v>208</v>
      </c>
      <c r="C17" s="21" t="s">
        <v>209</v>
      </c>
      <c r="D17" s="21" t="s">
        <v>210</v>
      </c>
      <c r="E17" s="51">
        <v>45736</v>
      </c>
      <c r="F17" s="51">
        <f t="shared" si="16"/>
        <v>45901</v>
      </c>
      <c r="G17" s="56">
        <f t="shared" si="1"/>
        <v>45930</v>
      </c>
      <c r="H17" s="65" t="str">
        <f t="shared" ref="H17:H54" si="19">G17-F17+1&amp;" DAYS"</f>
        <v>30 DAYS</v>
      </c>
      <c r="I17" s="65">
        <f t="shared" si="3"/>
        <v>24000</v>
      </c>
      <c r="J17" s="69">
        <f t="shared" si="4"/>
        <v>24000</v>
      </c>
      <c r="K17" s="69">
        <f t="shared" si="5"/>
        <v>16000</v>
      </c>
      <c r="L17" s="69">
        <f t="shared" si="6"/>
        <v>8000</v>
      </c>
      <c r="M17" s="69">
        <f t="shared" si="7"/>
        <v>8000</v>
      </c>
      <c r="N17" s="69">
        <f t="shared" si="18"/>
        <v>80000</v>
      </c>
      <c r="O17" s="74">
        <v>0</v>
      </c>
      <c r="P17" s="74">
        <v>0</v>
      </c>
      <c r="Q17" s="79">
        <f t="shared" si="8"/>
        <v>80000</v>
      </c>
      <c r="R17" s="82">
        <v>0</v>
      </c>
      <c r="S17" s="82">
        <v>0</v>
      </c>
      <c r="T17" s="82">
        <v>0</v>
      </c>
      <c r="U17" s="82">
        <v>0</v>
      </c>
      <c r="V17" s="82">
        <v>0</v>
      </c>
      <c r="W17" s="82">
        <v>0</v>
      </c>
      <c r="X17" s="85">
        <v>0</v>
      </c>
      <c r="Y17" s="86" t="s">
        <v>109</v>
      </c>
      <c r="Z17" s="82">
        <f t="shared" si="10"/>
        <v>0</v>
      </c>
      <c r="AA17" s="91">
        <f t="shared" si="11"/>
        <v>80000</v>
      </c>
      <c r="AB17" s="93" t="s">
        <v>178</v>
      </c>
      <c r="AC17" s="93">
        <v>2948573610</v>
      </c>
      <c r="AD17" s="93" t="s">
        <v>117</v>
      </c>
      <c r="AE17" s="93" t="s">
        <v>118</v>
      </c>
      <c r="AF17" s="93" t="s">
        <v>212</v>
      </c>
      <c r="AG17" s="93">
        <v>300000</v>
      </c>
      <c r="AH17" s="93">
        <f t="shared" si="12"/>
        <v>10</v>
      </c>
      <c r="AI17" s="93">
        <f t="shared" si="13"/>
        <v>15</v>
      </c>
    </row>
    <row r="18" spans="1:35" ht="15.75" customHeight="1">
      <c r="A18" s="48">
        <f t="shared" si="14"/>
        <v>15</v>
      </c>
      <c r="B18" s="21" t="s">
        <v>213</v>
      </c>
      <c r="C18" s="21" t="s">
        <v>214</v>
      </c>
      <c r="D18" s="21" t="s">
        <v>215</v>
      </c>
      <c r="E18" s="51">
        <v>45810</v>
      </c>
      <c r="F18" s="51">
        <f t="shared" si="16"/>
        <v>45901</v>
      </c>
      <c r="G18" s="56">
        <f t="shared" si="1"/>
        <v>45930</v>
      </c>
      <c r="H18" s="65" t="str">
        <f t="shared" si="19"/>
        <v>30 DAYS</v>
      </c>
      <c r="I18" s="65">
        <f t="shared" si="3"/>
        <v>24000</v>
      </c>
      <c r="J18" s="69">
        <f t="shared" si="4"/>
        <v>24000</v>
      </c>
      <c r="K18" s="69">
        <f t="shared" si="5"/>
        <v>16000</v>
      </c>
      <c r="L18" s="69">
        <f t="shared" si="6"/>
        <v>8000</v>
      </c>
      <c r="M18" s="69">
        <f t="shared" si="7"/>
        <v>8000</v>
      </c>
      <c r="N18" s="69">
        <f t="shared" si="18"/>
        <v>80000</v>
      </c>
      <c r="O18" s="74">
        <v>0</v>
      </c>
      <c r="P18" s="74">
        <v>0</v>
      </c>
      <c r="Q18" s="79">
        <f t="shared" si="8"/>
        <v>80000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5">
        <v>0</v>
      </c>
      <c r="Y18" s="86" t="s">
        <v>109</v>
      </c>
      <c r="Z18" s="82">
        <f t="shared" si="10"/>
        <v>0</v>
      </c>
      <c r="AA18" s="91">
        <f t="shared" si="11"/>
        <v>80000</v>
      </c>
      <c r="AB18" s="93" t="s">
        <v>216</v>
      </c>
      <c r="AC18" s="93">
        <v>7362910485</v>
      </c>
      <c r="AD18" s="93" t="s">
        <v>117</v>
      </c>
      <c r="AE18" s="93" t="s">
        <v>118</v>
      </c>
      <c r="AF18" s="93" t="s">
        <v>217</v>
      </c>
      <c r="AG18" s="93">
        <v>300000</v>
      </c>
      <c r="AH18" s="93">
        <f t="shared" si="12"/>
        <v>10</v>
      </c>
      <c r="AI18" s="93">
        <f t="shared" si="13"/>
        <v>15</v>
      </c>
    </row>
    <row r="19" spans="1:35" ht="15.75" customHeight="1">
      <c r="A19" s="48">
        <f t="shared" si="14"/>
        <v>16</v>
      </c>
      <c r="B19" s="21" t="s">
        <v>218</v>
      </c>
      <c r="C19" s="21" t="s">
        <v>219</v>
      </c>
      <c r="D19" s="21" t="s">
        <v>220</v>
      </c>
      <c r="E19" s="51">
        <v>45628</v>
      </c>
      <c r="F19" s="51">
        <f t="shared" si="16"/>
        <v>45901</v>
      </c>
      <c r="G19" s="56">
        <f t="shared" si="1"/>
        <v>45930</v>
      </c>
      <c r="H19" s="65" t="str">
        <f t="shared" si="19"/>
        <v>30 DAYS</v>
      </c>
      <c r="I19" s="65">
        <f t="shared" si="3"/>
        <v>24000</v>
      </c>
      <c r="J19" s="69">
        <f t="shared" si="4"/>
        <v>24000</v>
      </c>
      <c r="K19" s="69">
        <f t="shared" si="5"/>
        <v>16000</v>
      </c>
      <c r="L19" s="69">
        <f t="shared" si="6"/>
        <v>8000</v>
      </c>
      <c r="M19" s="69">
        <f t="shared" si="7"/>
        <v>8000</v>
      </c>
      <c r="N19" s="69">
        <f t="shared" si="18"/>
        <v>80000</v>
      </c>
      <c r="O19" s="74">
        <v>0</v>
      </c>
      <c r="P19" s="74">
        <v>0</v>
      </c>
      <c r="Q19" s="79">
        <f t="shared" si="8"/>
        <v>80000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5">
        <v>0</v>
      </c>
      <c r="Y19" s="86" t="s">
        <v>109</v>
      </c>
      <c r="Z19" s="82">
        <f t="shared" si="10"/>
        <v>0</v>
      </c>
      <c r="AA19" s="91">
        <f t="shared" si="11"/>
        <v>80000</v>
      </c>
      <c r="AB19" s="93" t="s">
        <v>216</v>
      </c>
      <c r="AC19" s="93">
        <v>9183746250</v>
      </c>
      <c r="AD19" s="93" t="s">
        <v>117</v>
      </c>
      <c r="AE19" s="93" t="s">
        <v>118</v>
      </c>
      <c r="AF19" s="93" t="s">
        <v>221</v>
      </c>
      <c r="AG19" s="93">
        <v>300000</v>
      </c>
      <c r="AH19" s="93">
        <f t="shared" si="12"/>
        <v>10</v>
      </c>
      <c r="AI19" s="93">
        <f t="shared" si="13"/>
        <v>15</v>
      </c>
    </row>
    <row r="20" spans="1:35" ht="15.75" customHeight="1">
      <c r="A20" s="48">
        <f t="shared" si="14"/>
        <v>17</v>
      </c>
      <c r="B20" s="21" t="s">
        <v>222</v>
      </c>
      <c r="C20" s="21" t="s">
        <v>223</v>
      </c>
      <c r="D20" s="21" t="s">
        <v>224</v>
      </c>
      <c r="E20" s="51">
        <v>45567</v>
      </c>
      <c r="F20" s="51">
        <f t="shared" si="16"/>
        <v>45901</v>
      </c>
      <c r="G20" s="56">
        <f t="shared" si="1"/>
        <v>45930</v>
      </c>
      <c r="H20" s="65" t="str">
        <f t="shared" si="19"/>
        <v>30 DAYS</v>
      </c>
      <c r="I20" s="65">
        <f t="shared" si="3"/>
        <v>24000</v>
      </c>
      <c r="J20" s="69">
        <f t="shared" si="4"/>
        <v>24000</v>
      </c>
      <c r="K20" s="69">
        <f t="shared" si="5"/>
        <v>16000</v>
      </c>
      <c r="L20" s="69">
        <f t="shared" si="6"/>
        <v>8000</v>
      </c>
      <c r="M20" s="69">
        <f t="shared" si="7"/>
        <v>8000</v>
      </c>
      <c r="N20" s="69">
        <f t="shared" si="18"/>
        <v>80000</v>
      </c>
      <c r="O20" s="74">
        <v>0</v>
      </c>
      <c r="P20" s="74">
        <v>0</v>
      </c>
      <c r="Q20" s="79">
        <f t="shared" si="8"/>
        <v>80000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5">
        <v>0</v>
      </c>
      <c r="Y20" s="86" t="s">
        <v>109</v>
      </c>
      <c r="Z20" s="82">
        <f t="shared" si="10"/>
        <v>0</v>
      </c>
      <c r="AA20" s="91">
        <f t="shared" si="11"/>
        <v>80000</v>
      </c>
      <c r="AB20" s="93" t="s">
        <v>216</v>
      </c>
      <c r="AC20" s="93">
        <v>2039485716</v>
      </c>
      <c r="AD20" s="93" t="s">
        <v>117</v>
      </c>
      <c r="AE20" s="93" t="s">
        <v>118</v>
      </c>
      <c r="AF20" s="93" t="s">
        <v>225</v>
      </c>
      <c r="AG20" s="93">
        <v>300000</v>
      </c>
      <c r="AH20" s="93">
        <f t="shared" si="12"/>
        <v>10</v>
      </c>
      <c r="AI20" s="93">
        <f t="shared" si="13"/>
        <v>15</v>
      </c>
    </row>
    <row r="21" spans="1:35" ht="15.75" customHeight="1">
      <c r="A21" s="48">
        <f t="shared" si="14"/>
        <v>18</v>
      </c>
      <c r="B21" s="21" t="s">
        <v>226</v>
      </c>
      <c r="C21" s="21" t="s">
        <v>227</v>
      </c>
      <c r="D21" s="21" t="s">
        <v>228</v>
      </c>
      <c r="E21" s="51">
        <v>45728</v>
      </c>
      <c r="F21" s="51">
        <f t="shared" si="16"/>
        <v>45901</v>
      </c>
      <c r="G21" s="56">
        <f t="shared" si="1"/>
        <v>45930</v>
      </c>
      <c r="H21" s="65" t="str">
        <f t="shared" si="19"/>
        <v>30 DAYS</v>
      </c>
      <c r="I21" s="65">
        <f t="shared" si="3"/>
        <v>24000</v>
      </c>
      <c r="J21" s="69">
        <f t="shared" si="4"/>
        <v>24000</v>
      </c>
      <c r="K21" s="69">
        <f t="shared" si="5"/>
        <v>16000</v>
      </c>
      <c r="L21" s="69">
        <f t="shared" si="6"/>
        <v>8000</v>
      </c>
      <c r="M21" s="69">
        <f t="shared" si="7"/>
        <v>8000</v>
      </c>
      <c r="N21" s="69">
        <f t="shared" si="18"/>
        <v>80000</v>
      </c>
      <c r="O21" s="74">
        <v>0</v>
      </c>
      <c r="P21" s="74">
        <v>0</v>
      </c>
      <c r="Q21" s="79">
        <f t="shared" si="8"/>
        <v>80000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5">
        <v>0</v>
      </c>
      <c r="Y21" s="86" t="s">
        <v>109</v>
      </c>
      <c r="Z21" s="82">
        <f t="shared" si="10"/>
        <v>0</v>
      </c>
      <c r="AA21" s="91">
        <f t="shared" si="11"/>
        <v>80000</v>
      </c>
      <c r="AB21" s="93" t="s">
        <v>229</v>
      </c>
      <c r="AC21" s="93">
        <v>6574839021</v>
      </c>
      <c r="AD21" s="93" t="s">
        <v>117</v>
      </c>
      <c r="AE21" s="93" t="s">
        <v>118</v>
      </c>
      <c r="AF21" s="93" t="s">
        <v>230</v>
      </c>
      <c r="AG21" s="93">
        <v>300000</v>
      </c>
      <c r="AH21" s="93">
        <f t="shared" si="12"/>
        <v>10</v>
      </c>
      <c r="AI21" s="93">
        <f t="shared" si="13"/>
        <v>15</v>
      </c>
    </row>
    <row r="22" spans="1:35" ht="15.75" customHeight="1">
      <c r="A22" s="48">
        <f t="shared" si="14"/>
        <v>19</v>
      </c>
      <c r="B22" s="21" t="s">
        <v>231</v>
      </c>
      <c r="C22" s="21" t="s">
        <v>232</v>
      </c>
      <c r="D22" s="21" t="s">
        <v>233</v>
      </c>
      <c r="E22" s="51">
        <v>45810</v>
      </c>
      <c r="F22" s="51">
        <f t="shared" si="16"/>
        <v>45901</v>
      </c>
      <c r="G22" s="56">
        <f t="shared" si="1"/>
        <v>45930</v>
      </c>
      <c r="H22" s="65" t="str">
        <f t="shared" si="19"/>
        <v>30 DAYS</v>
      </c>
      <c r="I22" s="65">
        <f t="shared" si="3"/>
        <v>24000</v>
      </c>
      <c r="J22" s="69">
        <f t="shared" si="4"/>
        <v>24000</v>
      </c>
      <c r="K22" s="69">
        <f t="shared" si="5"/>
        <v>16000</v>
      </c>
      <c r="L22" s="69">
        <f t="shared" si="6"/>
        <v>8000</v>
      </c>
      <c r="M22" s="69">
        <f t="shared" si="7"/>
        <v>8000</v>
      </c>
      <c r="N22" s="69">
        <f t="shared" si="18"/>
        <v>80000</v>
      </c>
      <c r="O22" s="74">
        <v>0</v>
      </c>
      <c r="P22" s="74">
        <v>0</v>
      </c>
      <c r="Q22" s="79">
        <f t="shared" si="8"/>
        <v>80000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5">
        <v>0</v>
      </c>
      <c r="Y22" s="86" t="s">
        <v>109</v>
      </c>
      <c r="Z22" s="82">
        <f t="shared" si="10"/>
        <v>0</v>
      </c>
      <c r="AA22" s="91">
        <f t="shared" si="11"/>
        <v>80000</v>
      </c>
      <c r="AB22" s="93" t="s">
        <v>234</v>
      </c>
      <c r="AC22" s="93">
        <v>3847561290</v>
      </c>
      <c r="AD22" s="93" t="s">
        <v>117</v>
      </c>
      <c r="AE22" s="93" t="s">
        <v>118</v>
      </c>
      <c r="AF22" s="93" t="s">
        <v>235</v>
      </c>
      <c r="AG22" s="93">
        <v>300000</v>
      </c>
      <c r="AH22" s="93">
        <f t="shared" si="12"/>
        <v>10</v>
      </c>
      <c r="AI22" s="93">
        <f t="shared" si="13"/>
        <v>15</v>
      </c>
    </row>
    <row r="23" spans="1:35" ht="15.75" customHeight="1">
      <c r="A23" s="48">
        <f t="shared" si="14"/>
        <v>20</v>
      </c>
      <c r="B23" s="21" t="s">
        <v>236</v>
      </c>
      <c r="C23" s="21" t="s">
        <v>237</v>
      </c>
      <c r="D23" s="21" t="s">
        <v>238</v>
      </c>
      <c r="E23" s="51">
        <v>45728</v>
      </c>
      <c r="F23" s="51">
        <f t="shared" si="16"/>
        <v>45901</v>
      </c>
      <c r="G23" s="56">
        <f t="shared" si="1"/>
        <v>45930</v>
      </c>
      <c r="H23" s="65" t="str">
        <f t="shared" si="19"/>
        <v>30 DAYS</v>
      </c>
      <c r="I23" s="65">
        <f t="shared" si="3"/>
        <v>24000</v>
      </c>
      <c r="J23" s="69">
        <f t="shared" si="4"/>
        <v>24000</v>
      </c>
      <c r="K23" s="69">
        <f t="shared" si="5"/>
        <v>16000</v>
      </c>
      <c r="L23" s="69">
        <f t="shared" si="6"/>
        <v>8000</v>
      </c>
      <c r="M23" s="69">
        <f t="shared" si="7"/>
        <v>8000</v>
      </c>
      <c r="N23" s="69">
        <f t="shared" si="18"/>
        <v>80000</v>
      </c>
      <c r="O23" s="74">
        <v>0</v>
      </c>
      <c r="P23" s="74">
        <v>0</v>
      </c>
      <c r="Q23" s="79">
        <f t="shared" si="8"/>
        <v>80000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5">
        <v>0</v>
      </c>
      <c r="Y23" s="86" t="s">
        <v>109</v>
      </c>
      <c r="Z23" s="82">
        <f t="shared" si="10"/>
        <v>0</v>
      </c>
      <c r="AA23" s="91">
        <f t="shared" si="11"/>
        <v>80000</v>
      </c>
      <c r="AB23" s="93" t="s">
        <v>229</v>
      </c>
      <c r="AC23" s="93">
        <v>7461928350</v>
      </c>
      <c r="AD23" s="93" t="s">
        <v>117</v>
      </c>
      <c r="AE23" s="93" t="s">
        <v>118</v>
      </c>
      <c r="AF23" s="93" t="s">
        <v>240</v>
      </c>
      <c r="AG23" s="93">
        <v>300000</v>
      </c>
      <c r="AH23" s="93">
        <f t="shared" si="12"/>
        <v>10</v>
      </c>
      <c r="AI23" s="93">
        <f t="shared" si="13"/>
        <v>15</v>
      </c>
    </row>
    <row r="24" spans="1:35" ht="15.75" customHeight="1">
      <c r="A24" s="48">
        <f t="shared" si="14"/>
        <v>21</v>
      </c>
      <c r="B24" s="21" t="s">
        <v>241</v>
      </c>
      <c r="C24" s="21" t="s">
        <v>242</v>
      </c>
      <c r="D24" s="21" t="s">
        <v>243</v>
      </c>
      <c r="E24" s="51">
        <v>45728</v>
      </c>
      <c r="F24" s="51">
        <f t="shared" si="16"/>
        <v>45901</v>
      </c>
      <c r="G24" s="56">
        <f t="shared" si="1"/>
        <v>45930</v>
      </c>
      <c r="H24" s="65" t="str">
        <f t="shared" si="19"/>
        <v>30 DAYS</v>
      </c>
      <c r="I24" s="65">
        <f t="shared" si="3"/>
        <v>24000</v>
      </c>
      <c r="J24" s="69">
        <f t="shared" si="4"/>
        <v>24000</v>
      </c>
      <c r="K24" s="69">
        <f t="shared" si="5"/>
        <v>16000</v>
      </c>
      <c r="L24" s="69">
        <f t="shared" si="6"/>
        <v>8000</v>
      </c>
      <c r="M24" s="69">
        <f t="shared" si="7"/>
        <v>8000</v>
      </c>
      <c r="N24" s="69">
        <f t="shared" si="18"/>
        <v>80000</v>
      </c>
      <c r="O24" s="74">
        <v>0</v>
      </c>
      <c r="P24" s="74">
        <v>0</v>
      </c>
      <c r="Q24" s="79">
        <f t="shared" si="8"/>
        <v>80000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5">
        <v>0</v>
      </c>
      <c r="Y24" s="86" t="s">
        <v>109</v>
      </c>
      <c r="Z24" s="82">
        <f t="shared" si="10"/>
        <v>0</v>
      </c>
      <c r="AA24" s="91">
        <f t="shared" si="11"/>
        <v>80000</v>
      </c>
      <c r="AB24" s="93" t="s">
        <v>244</v>
      </c>
      <c r="AC24" s="93">
        <v>5829301476</v>
      </c>
      <c r="AD24" s="93" t="s">
        <v>117</v>
      </c>
      <c r="AE24" s="93" t="s">
        <v>118</v>
      </c>
      <c r="AF24" s="93" t="s">
        <v>245</v>
      </c>
      <c r="AG24" s="93">
        <v>300000</v>
      </c>
      <c r="AH24" s="93">
        <f t="shared" si="12"/>
        <v>10</v>
      </c>
      <c r="AI24" s="93">
        <f t="shared" si="13"/>
        <v>15</v>
      </c>
    </row>
    <row r="25" spans="1:35" ht="15.75" customHeight="1">
      <c r="A25" s="48">
        <f t="shared" si="14"/>
        <v>22</v>
      </c>
      <c r="B25" s="21" t="s">
        <v>246</v>
      </c>
      <c r="C25" s="21" t="s">
        <v>247</v>
      </c>
      <c r="D25" s="21" t="s">
        <v>248</v>
      </c>
      <c r="E25" s="51">
        <v>45530</v>
      </c>
      <c r="F25" s="51">
        <f t="shared" si="16"/>
        <v>45901</v>
      </c>
      <c r="G25" s="56">
        <f t="shared" si="1"/>
        <v>45930</v>
      </c>
      <c r="H25" s="65" t="str">
        <f t="shared" si="19"/>
        <v>30 DAYS</v>
      </c>
      <c r="I25" s="65">
        <f t="shared" si="3"/>
        <v>24000</v>
      </c>
      <c r="J25" s="69">
        <f t="shared" si="4"/>
        <v>24000</v>
      </c>
      <c r="K25" s="69">
        <f t="shared" si="5"/>
        <v>16000</v>
      </c>
      <c r="L25" s="69">
        <f t="shared" si="6"/>
        <v>8000</v>
      </c>
      <c r="M25" s="69">
        <f t="shared" si="7"/>
        <v>8000</v>
      </c>
      <c r="N25" s="69">
        <f t="shared" si="18"/>
        <v>80000</v>
      </c>
      <c r="O25" s="74">
        <v>0</v>
      </c>
      <c r="P25" s="74">
        <v>0</v>
      </c>
      <c r="Q25" s="79">
        <f t="shared" si="8"/>
        <v>80000</v>
      </c>
      <c r="R25" s="82">
        <v>0</v>
      </c>
      <c r="S25" s="82">
        <v>0</v>
      </c>
      <c r="T25" s="82">
        <v>0</v>
      </c>
      <c r="U25" s="82">
        <v>0</v>
      </c>
      <c r="V25" s="82">
        <v>0</v>
      </c>
      <c r="W25" s="82">
        <v>0</v>
      </c>
      <c r="X25" s="85">
        <v>0</v>
      </c>
      <c r="Y25" s="86" t="s">
        <v>109</v>
      </c>
      <c r="Z25" s="82">
        <f t="shared" si="10"/>
        <v>0</v>
      </c>
      <c r="AA25" s="91">
        <f t="shared" si="11"/>
        <v>80000</v>
      </c>
      <c r="AB25" s="93" t="s">
        <v>249</v>
      </c>
      <c r="AC25" s="93">
        <v>1092837645</v>
      </c>
      <c r="AD25" s="93" t="s">
        <v>117</v>
      </c>
      <c r="AE25" s="93" t="s">
        <v>118</v>
      </c>
      <c r="AF25" s="93" t="s">
        <v>250</v>
      </c>
      <c r="AG25" s="93">
        <v>300000</v>
      </c>
      <c r="AH25" s="93">
        <f t="shared" si="12"/>
        <v>10</v>
      </c>
      <c r="AI25" s="93">
        <f t="shared" si="13"/>
        <v>15</v>
      </c>
    </row>
    <row r="26" spans="1:35" ht="15.75" customHeight="1">
      <c r="A26" s="48">
        <f t="shared" si="14"/>
        <v>23</v>
      </c>
      <c r="B26" s="21" t="s">
        <v>251</v>
      </c>
      <c r="C26" s="21" t="s">
        <v>252</v>
      </c>
      <c r="D26" s="21" t="s">
        <v>253</v>
      </c>
      <c r="E26" s="51">
        <v>45544</v>
      </c>
      <c r="F26" s="51">
        <f t="shared" si="16"/>
        <v>45901</v>
      </c>
      <c r="G26" s="56">
        <f t="shared" si="1"/>
        <v>45930</v>
      </c>
      <c r="H26" s="65" t="str">
        <f t="shared" si="19"/>
        <v>30 DAYS</v>
      </c>
      <c r="I26" s="65">
        <f t="shared" si="3"/>
        <v>24000</v>
      </c>
      <c r="J26" s="69">
        <f t="shared" si="4"/>
        <v>24000</v>
      </c>
      <c r="K26" s="69">
        <f t="shared" si="5"/>
        <v>16000</v>
      </c>
      <c r="L26" s="69">
        <f t="shared" si="6"/>
        <v>8000</v>
      </c>
      <c r="M26" s="69">
        <f t="shared" si="7"/>
        <v>8000</v>
      </c>
      <c r="N26" s="69">
        <f t="shared" si="18"/>
        <v>80000</v>
      </c>
      <c r="O26" s="74">
        <v>0</v>
      </c>
      <c r="P26" s="74">
        <v>0</v>
      </c>
      <c r="Q26" s="79">
        <f t="shared" si="8"/>
        <v>80000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5">
        <v>0</v>
      </c>
      <c r="Y26" s="86" t="s">
        <v>109</v>
      </c>
      <c r="Z26" s="82">
        <f t="shared" si="10"/>
        <v>0</v>
      </c>
      <c r="AA26" s="91">
        <f t="shared" si="11"/>
        <v>80000</v>
      </c>
      <c r="AB26" s="93" t="s">
        <v>115</v>
      </c>
      <c r="AC26" s="93">
        <v>8473629015</v>
      </c>
      <c r="AD26" s="93" t="s">
        <v>117</v>
      </c>
      <c r="AE26" s="93" t="s">
        <v>118</v>
      </c>
      <c r="AF26" s="93" t="s">
        <v>255</v>
      </c>
      <c r="AG26" s="93">
        <v>300000</v>
      </c>
      <c r="AH26" s="93">
        <f t="shared" si="12"/>
        <v>10</v>
      </c>
      <c r="AI26" s="93">
        <f t="shared" si="13"/>
        <v>15</v>
      </c>
    </row>
    <row r="27" spans="1:35" ht="15.75" customHeight="1">
      <c r="A27" s="48">
        <f t="shared" si="14"/>
        <v>24</v>
      </c>
      <c r="B27" s="21" t="s">
        <v>256</v>
      </c>
      <c r="C27" s="21" t="s">
        <v>252</v>
      </c>
      <c r="D27" s="21" t="s">
        <v>257</v>
      </c>
      <c r="E27" s="51">
        <v>45758</v>
      </c>
      <c r="F27" s="51">
        <f t="shared" si="16"/>
        <v>45901</v>
      </c>
      <c r="G27" s="56">
        <f t="shared" si="1"/>
        <v>45930</v>
      </c>
      <c r="H27" s="65" t="str">
        <f t="shared" si="19"/>
        <v>30 DAYS</v>
      </c>
      <c r="I27" s="65">
        <f t="shared" si="3"/>
        <v>24000</v>
      </c>
      <c r="J27" s="69">
        <f t="shared" si="4"/>
        <v>24000</v>
      </c>
      <c r="K27" s="69">
        <f t="shared" si="5"/>
        <v>16000</v>
      </c>
      <c r="L27" s="69">
        <f t="shared" si="6"/>
        <v>8000</v>
      </c>
      <c r="M27" s="69">
        <f t="shared" si="7"/>
        <v>8000</v>
      </c>
      <c r="N27" s="69">
        <f t="shared" si="18"/>
        <v>80000</v>
      </c>
      <c r="O27" s="74">
        <v>0</v>
      </c>
      <c r="P27" s="74">
        <v>0</v>
      </c>
      <c r="Q27" s="79">
        <f t="shared" si="8"/>
        <v>80000</v>
      </c>
      <c r="R27" s="82">
        <v>0</v>
      </c>
      <c r="S27" s="82">
        <v>0</v>
      </c>
      <c r="T27" s="82">
        <v>0</v>
      </c>
      <c r="U27" s="82">
        <v>0</v>
      </c>
      <c r="V27" s="82">
        <v>0</v>
      </c>
      <c r="W27" s="82">
        <v>0</v>
      </c>
      <c r="X27" s="85">
        <v>0</v>
      </c>
      <c r="Y27" s="86" t="s">
        <v>109</v>
      </c>
      <c r="Z27" s="82">
        <f t="shared" si="10"/>
        <v>0</v>
      </c>
      <c r="AA27" s="91">
        <f t="shared" si="11"/>
        <v>80000</v>
      </c>
      <c r="AB27" s="93" t="s">
        <v>244</v>
      </c>
      <c r="AC27" s="93">
        <v>2948573160</v>
      </c>
      <c r="AD27" s="93" t="s">
        <v>117</v>
      </c>
      <c r="AE27" s="93" t="s">
        <v>118</v>
      </c>
      <c r="AF27" s="93" t="s">
        <v>261</v>
      </c>
      <c r="AG27" s="93">
        <v>300000</v>
      </c>
      <c r="AH27" s="93">
        <f t="shared" si="12"/>
        <v>10</v>
      </c>
      <c r="AI27" s="93">
        <f t="shared" si="13"/>
        <v>15</v>
      </c>
    </row>
    <row r="28" spans="1:35" ht="15.75" customHeight="1">
      <c r="A28" s="48">
        <f t="shared" si="14"/>
        <v>25</v>
      </c>
      <c r="B28" s="21" t="s">
        <v>262</v>
      </c>
      <c r="C28" s="21" t="s">
        <v>263</v>
      </c>
      <c r="D28" s="21" t="s">
        <v>264</v>
      </c>
      <c r="E28" s="51">
        <v>45551</v>
      </c>
      <c r="F28" s="51">
        <f t="shared" si="16"/>
        <v>45901</v>
      </c>
      <c r="G28" s="56">
        <f t="shared" si="1"/>
        <v>45930</v>
      </c>
      <c r="H28" s="65" t="str">
        <f t="shared" si="19"/>
        <v>30 DAYS</v>
      </c>
      <c r="I28" s="65">
        <f t="shared" si="3"/>
        <v>24000</v>
      </c>
      <c r="J28" s="69">
        <f t="shared" si="4"/>
        <v>24000</v>
      </c>
      <c r="K28" s="69">
        <f t="shared" si="5"/>
        <v>16000</v>
      </c>
      <c r="L28" s="69">
        <f t="shared" si="6"/>
        <v>8000</v>
      </c>
      <c r="M28" s="69">
        <f t="shared" si="7"/>
        <v>8000</v>
      </c>
      <c r="N28" s="69">
        <f t="shared" si="18"/>
        <v>80000</v>
      </c>
      <c r="O28" s="74">
        <v>0</v>
      </c>
      <c r="P28" s="74">
        <v>0</v>
      </c>
      <c r="Q28" s="79">
        <f t="shared" si="8"/>
        <v>80000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5">
        <v>0</v>
      </c>
      <c r="Y28" s="86" t="s">
        <v>109</v>
      </c>
      <c r="Z28" s="82">
        <f t="shared" si="10"/>
        <v>0</v>
      </c>
      <c r="AA28" s="91">
        <f t="shared" si="11"/>
        <v>80000</v>
      </c>
      <c r="AB28" s="93" t="s">
        <v>244</v>
      </c>
      <c r="AC28" s="93">
        <v>7362914058</v>
      </c>
      <c r="AD28" s="93" t="s">
        <v>117</v>
      </c>
      <c r="AE28" s="93" t="s">
        <v>118</v>
      </c>
      <c r="AF28" s="93" t="s">
        <v>271</v>
      </c>
      <c r="AG28" s="93">
        <v>300000</v>
      </c>
      <c r="AH28" s="93">
        <f t="shared" si="12"/>
        <v>10</v>
      </c>
      <c r="AI28" s="93">
        <f t="shared" si="13"/>
        <v>15</v>
      </c>
    </row>
    <row r="29" spans="1:35" ht="15.75" customHeight="1">
      <c r="A29" s="48">
        <f t="shared" si="14"/>
        <v>26</v>
      </c>
      <c r="B29" s="21" t="s">
        <v>272</v>
      </c>
      <c r="C29" s="21" t="s">
        <v>273</v>
      </c>
      <c r="D29" s="21" t="s">
        <v>274</v>
      </c>
      <c r="E29" s="51">
        <v>45896</v>
      </c>
      <c r="F29" s="51">
        <f t="shared" si="16"/>
        <v>45901</v>
      </c>
      <c r="G29" s="56">
        <f t="shared" si="1"/>
        <v>45930</v>
      </c>
      <c r="H29" s="65" t="str">
        <f t="shared" si="19"/>
        <v>30 DAYS</v>
      </c>
      <c r="I29" s="65">
        <f t="shared" si="3"/>
        <v>24000</v>
      </c>
      <c r="J29" s="69">
        <f t="shared" si="4"/>
        <v>24000</v>
      </c>
      <c r="K29" s="69">
        <f t="shared" si="5"/>
        <v>16000</v>
      </c>
      <c r="L29" s="69">
        <f t="shared" si="6"/>
        <v>8000</v>
      </c>
      <c r="M29" s="69">
        <f t="shared" si="7"/>
        <v>8000</v>
      </c>
      <c r="N29" s="69">
        <f t="shared" si="18"/>
        <v>80000</v>
      </c>
      <c r="O29" s="74">
        <v>0</v>
      </c>
      <c r="P29" s="74">
        <v>0</v>
      </c>
      <c r="Q29" s="79">
        <f t="shared" si="8"/>
        <v>80000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5">
        <v>0</v>
      </c>
      <c r="Y29" s="86" t="s">
        <v>109</v>
      </c>
      <c r="Z29" s="82">
        <f t="shared" si="10"/>
        <v>0</v>
      </c>
      <c r="AA29" s="91">
        <f t="shared" si="11"/>
        <v>80000</v>
      </c>
      <c r="AB29" s="93" t="s">
        <v>244</v>
      </c>
      <c r="AC29" s="93">
        <v>9183746520</v>
      </c>
      <c r="AD29" s="93" t="s">
        <v>117</v>
      </c>
      <c r="AE29" s="93" t="s">
        <v>118</v>
      </c>
      <c r="AF29" s="93" t="s">
        <v>276</v>
      </c>
      <c r="AG29" s="93">
        <v>300000</v>
      </c>
      <c r="AH29" s="93">
        <f t="shared" si="12"/>
        <v>10</v>
      </c>
      <c r="AI29" s="93">
        <f t="shared" si="13"/>
        <v>15</v>
      </c>
    </row>
    <row r="30" spans="1:35" ht="15.75" customHeight="1">
      <c r="A30" s="48">
        <f t="shared" si="14"/>
        <v>27</v>
      </c>
      <c r="B30" s="21" t="s">
        <v>277</v>
      </c>
      <c r="C30" s="21" t="s">
        <v>278</v>
      </c>
      <c r="D30" s="21" t="s">
        <v>279</v>
      </c>
      <c r="E30" s="51">
        <v>45896</v>
      </c>
      <c r="F30" s="51">
        <f t="shared" si="16"/>
        <v>45901</v>
      </c>
      <c r="G30" s="56">
        <f t="shared" si="1"/>
        <v>45930</v>
      </c>
      <c r="H30" s="65" t="str">
        <f t="shared" si="19"/>
        <v>30 DAYS</v>
      </c>
      <c r="I30" s="65">
        <f t="shared" si="3"/>
        <v>24000</v>
      </c>
      <c r="J30" s="69">
        <f t="shared" si="4"/>
        <v>24000</v>
      </c>
      <c r="K30" s="69">
        <f t="shared" si="5"/>
        <v>16000</v>
      </c>
      <c r="L30" s="69">
        <f t="shared" si="6"/>
        <v>8000</v>
      </c>
      <c r="M30" s="69">
        <f t="shared" si="7"/>
        <v>8000</v>
      </c>
      <c r="N30" s="69">
        <f t="shared" si="18"/>
        <v>80000</v>
      </c>
      <c r="O30" s="74">
        <v>0</v>
      </c>
      <c r="P30" s="74">
        <v>0</v>
      </c>
      <c r="Q30" s="79">
        <f t="shared" si="8"/>
        <v>80000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5">
        <v>0</v>
      </c>
      <c r="Y30" s="86" t="s">
        <v>109</v>
      </c>
      <c r="Z30" s="82">
        <f t="shared" si="10"/>
        <v>0</v>
      </c>
      <c r="AA30" s="91">
        <f t="shared" si="11"/>
        <v>80000</v>
      </c>
      <c r="AB30" s="93" t="s">
        <v>244</v>
      </c>
      <c r="AC30" s="93">
        <v>2039487156</v>
      </c>
      <c r="AD30" s="93" t="s">
        <v>117</v>
      </c>
      <c r="AE30" s="93" t="s">
        <v>118</v>
      </c>
      <c r="AF30" s="93" t="s">
        <v>280</v>
      </c>
      <c r="AG30" s="93">
        <v>300000</v>
      </c>
      <c r="AH30" s="93">
        <f t="shared" si="12"/>
        <v>10</v>
      </c>
      <c r="AI30" s="93">
        <f t="shared" si="13"/>
        <v>15</v>
      </c>
    </row>
    <row r="31" spans="1:35" ht="15.75" customHeight="1">
      <c r="A31" s="48">
        <f t="shared" si="14"/>
        <v>28</v>
      </c>
      <c r="B31" s="21" t="s">
        <v>281</v>
      </c>
      <c r="C31" s="21" t="s">
        <v>282</v>
      </c>
      <c r="D31" s="21" t="s">
        <v>283</v>
      </c>
      <c r="E31" s="51">
        <v>45896</v>
      </c>
      <c r="F31" s="51">
        <f t="shared" si="16"/>
        <v>45901</v>
      </c>
      <c r="G31" s="56">
        <f t="shared" si="1"/>
        <v>45930</v>
      </c>
      <c r="H31" s="65" t="str">
        <f t="shared" si="19"/>
        <v>30 DAYS</v>
      </c>
      <c r="I31" s="65">
        <f t="shared" si="3"/>
        <v>24000</v>
      </c>
      <c r="J31" s="69">
        <f t="shared" si="4"/>
        <v>24000</v>
      </c>
      <c r="K31" s="69">
        <f t="shared" si="5"/>
        <v>16000</v>
      </c>
      <c r="L31" s="69">
        <f t="shared" si="6"/>
        <v>8000</v>
      </c>
      <c r="M31" s="69">
        <f t="shared" si="7"/>
        <v>8000</v>
      </c>
      <c r="N31" s="69">
        <f t="shared" si="18"/>
        <v>80000</v>
      </c>
      <c r="O31" s="74">
        <v>0</v>
      </c>
      <c r="P31" s="74">
        <v>0</v>
      </c>
      <c r="Q31" s="79">
        <f t="shared" si="8"/>
        <v>80000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5">
        <v>0</v>
      </c>
      <c r="Y31" s="86" t="s">
        <v>109</v>
      </c>
      <c r="Z31" s="82">
        <f t="shared" si="10"/>
        <v>0</v>
      </c>
      <c r="AA31" s="91">
        <f t="shared" si="11"/>
        <v>80000</v>
      </c>
      <c r="AB31" s="93" t="s">
        <v>249</v>
      </c>
      <c r="AC31" s="93">
        <v>6574830912</v>
      </c>
      <c r="AD31" s="93" t="s">
        <v>117</v>
      </c>
      <c r="AE31" s="93" t="s">
        <v>118</v>
      </c>
      <c r="AF31" s="93" t="s">
        <v>284</v>
      </c>
      <c r="AG31" s="93">
        <v>300000</v>
      </c>
      <c r="AH31" s="93">
        <f t="shared" si="12"/>
        <v>10</v>
      </c>
      <c r="AI31" s="93">
        <f t="shared" si="13"/>
        <v>15</v>
      </c>
    </row>
    <row r="32" spans="1:35" ht="15.75" customHeight="1">
      <c r="A32" s="48">
        <f t="shared" si="14"/>
        <v>29</v>
      </c>
      <c r="B32" s="21" t="s">
        <v>285</v>
      </c>
      <c r="C32" s="21" t="s">
        <v>282</v>
      </c>
      <c r="D32" s="21" t="s">
        <v>286</v>
      </c>
      <c r="E32" s="51">
        <v>45896</v>
      </c>
      <c r="F32" s="51">
        <f t="shared" si="16"/>
        <v>45901</v>
      </c>
      <c r="G32" s="56">
        <f t="shared" si="1"/>
        <v>45930</v>
      </c>
      <c r="H32" s="65" t="str">
        <f t="shared" si="19"/>
        <v>30 DAYS</v>
      </c>
      <c r="I32" s="65">
        <f t="shared" si="3"/>
        <v>24000</v>
      </c>
      <c r="J32" s="69">
        <f t="shared" si="4"/>
        <v>24000</v>
      </c>
      <c r="K32" s="69">
        <f t="shared" si="5"/>
        <v>16000</v>
      </c>
      <c r="L32" s="69">
        <f t="shared" si="6"/>
        <v>8000</v>
      </c>
      <c r="M32" s="69">
        <f t="shared" si="7"/>
        <v>8000</v>
      </c>
      <c r="N32" s="69">
        <f t="shared" si="18"/>
        <v>80000</v>
      </c>
      <c r="O32" s="74">
        <v>0</v>
      </c>
      <c r="P32" s="74">
        <v>0</v>
      </c>
      <c r="Q32" s="79">
        <f t="shared" si="8"/>
        <v>80000</v>
      </c>
      <c r="R32" s="82">
        <v>0</v>
      </c>
      <c r="S32" s="82">
        <v>0</v>
      </c>
      <c r="T32" s="82">
        <v>0</v>
      </c>
      <c r="U32" s="82">
        <v>0</v>
      </c>
      <c r="V32" s="82">
        <v>0</v>
      </c>
      <c r="W32" s="82">
        <v>0</v>
      </c>
      <c r="X32" s="85">
        <v>0</v>
      </c>
      <c r="Y32" s="86" t="s">
        <v>109</v>
      </c>
      <c r="Z32" s="82">
        <f t="shared" si="10"/>
        <v>0</v>
      </c>
      <c r="AA32" s="91">
        <f t="shared" si="11"/>
        <v>80000</v>
      </c>
      <c r="AB32" s="93" t="s">
        <v>244</v>
      </c>
      <c r="AC32" s="93">
        <v>3847561209</v>
      </c>
      <c r="AD32" s="93" t="s">
        <v>117</v>
      </c>
      <c r="AE32" s="93" t="s">
        <v>118</v>
      </c>
      <c r="AF32" s="93" t="s">
        <v>287</v>
      </c>
      <c r="AG32" s="93">
        <v>300000</v>
      </c>
      <c r="AH32" s="93">
        <f t="shared" si="12"/>
        <v>10</v>
      </c>
      <c r="AI32" s="93">
        <f t="shared" si="13"/>
        <v>15</v>
      </c>
    </row>
    <row r="33" spans="1:35" ht="15.75" customHeight="1">
      <c r="A33" s="48">
        <f t="shared" si="14"/>
        <v>30</v>
      </c>
      <c r="B33" s="21" t="s">
        <v>288</v>
      </c>
      <c r="C33" s="21" t="s">
        <v>289</v>
      </c>
      <c r="D33" s="21" t="s">
        <v>290</v>
      </c>
      <c r="E33" s="51">
        <v>45896</v>
      </c>
      <c r="F33" s="51">
        <f t="shared" si="16"/>
        <v>45901</v>
      </c>
      <c r="G33" s="56">
        <f t="shared" si="1"/>
        <v>45930</v>
      </c>
      <c r="H33" s="65" t="str">
        <f t="shared" si="19"/>
        <v>30 DAYS</v>
      </c>
      <c r="I33" s="65">
        <f t="shared" si="3"/>
        <v>24000</v>
      </c>
      <c r="J33" s="69">
        <f t="shared" si="4"/>
        <v>24000</v>
      </c>
      <c r="K33" s="69">
        <f t="shared" si="5"/>
        <v>16000</v>
      </c>
      <c r="L33" s="69">
        <f t="shared" si="6"/>
        <v>8000</v>
      </c>
      <c r="M33" s="69">
        <f t="shared" si="7"/>
        <v>8000</v>
      </c>
      <c r="N33" s="69">
        <f t="shared" si="18"/>
        <v>80000</v>
      </c>
      <c r="O33" s="74">
        <v>0</v>
      </c>
      <c r="P33" s="74">
        <v>0</v>
      </c>
      <c r="Q33" s="79">
        <f t="shared" si="8"/>
        <v>80000</v>
      </c>
      <c r="R33" s="82">
        <v>0</v>
      </c>
      <c r="S33" s="82">
        <v>0</v>
      </c>
      <c r="T33" s="82">
        <v>0</v>
      </c>
      <c r="U33" s="82">
        <v>0</v>
      </c>
      <c r="V33" s="82">
        <v>0</v>
      </c>
      <c r="W33" s="82">
        <v>0</v>
      </c>
      <c r="X33" s="85">
        <v>0</v>
      </c>
      <c r="Y33" s="86" t="s">
        <v>109</v>
      </c>
      <c r="Z33" s="82">
        <f t="shared" si="10"/>
        <v>0</v>
      </c>
      <c r="AA33" s="91">
        <f t="shared" si="11"/>
        <v>80000</v>
      </c>
      <c r="AB33" s="93" t="s">
        <v>244</v>
      </c>
      <c r="AC33" s="93">
        <v>7461923850</v>
      </c>
      <c r="AD33" s="93" t="s">
        <v>117</v>
      </c>
      <c r="AE33" s="93" t="s">
        <v>118</v>
      </c>
      <c r="AF33" s="93" t="s">
        <v>291</v>
      </c>
      <c r="AG33" s="93">
        <v>300000</v>
      </c>
      <c r="AH33" s="93">
        <f t="shared" si="12"/>
        <v>10</v>
      </c>
      <c r="AI33" s="93">
        <f t="shared" si="13"/>
        <v>15</v>
      </c>
    </row>
    <row r="34" spans="1:35" ht="15.75" customHeight="1">
      <c r="A34" s="48">
        <f t="shared" si="14"/>
        <v>31</v>
      </c>
      <c r="B34" s="21" t="s">
        <v>292</v>
      </c>
      <c r="C34" s="21" t="s">
        <v>293</v>
      </c>
      <c r="D34" s="21" t="s">
        <v>294</v>
      </c>
      <c r="E34" s="51">
        <v>45896</v>
      </c>
      <c r="F34" s="51">
        <f t="shared" si="16"/>
        <v>45901</v>
      </c>
      <c r="G34" s="56">
        <f t="shared" si="1"/>
        <v>45930</v>
      </c>
      <c r="H34" s="65" t="str">
        <f t="shared" si="19"/>
        <v>30 DAYS</v>
      </c>
      <c r="I34" s="65">
        <f t="shared" si="3"/>
        <v>24000</v>
      </c>
      <c r="J34" s="69">
        <f t="shared" si="4"/>
        <v>24000</v>
      </c>
      <c r="K34" s="69">
        <f t="shared" si="5"/>
        <v>16000</v>
      </c>
      <c r="L34" s="69">
        <f t="shared" si="6"/>
        <v>8000</v>
      </c>
      <c r="M34" s="69">
        <f t="shared" si="7"/>
        <v>8000</v>
      </c>
      <c r="N34" s="69">
        <f t="shared" si="18"/>
        <v>80000</v>
      </c>
      <c r="O34" s="74">
        <v>0</v>
      </c>
      <c r="P34" s="74">
        <v>0</v>
      </c>
      <c r="Q34" s="79">
        <f t="shared" si="8"/>
        <v>80000</v>
      </c>
      <c r="R34" s="82">
        <v>0</v>
      </c>
      <c r="S34" s="82">
        <v>0</v>
      </c>
      <c r="T34" s="82">
        <v>0</v>
      </c>
      <c r="U34" s="82">
        <v>0</v>
      </c>
      <c r="V34" s="82">
        <v>0</v>
      </c>
      <c r="W34" s="82">
        <v>0</v>
      </c>
      <c r="X34" s="85">
        <v>0</v>
      </c>
      <c r="Y34" s="86" t="s">
        <v>109</v>
      </c>
      <c r="Z34" s="82">
        <f t="shared" si="10"/>
        <v>0</v>
      </c>
      <c r="AA34" s="91">
        <f t="shared" si="11"/>
        <v>80000</v>
      </c>
      <c r="AB34" s="93" t="s">
        <v>244</v>
      </c>
      <c r="AC34" s="93">
        <v>5829304176</v>
      </c>
      <c r="AD34" s="93" t="s">
        <v>117</v>
      </c>
      <c r="AE34" s="93" t="s">
        <v>118</v>
      </c>
      <c r="AF34" s="93" t="s">
        <v>295</v>
      </c>
      <c r="AG34" s="93">
        <v>300000</v>
      </c>
      <c r="AH34" s="93">
        <f t="shared" si="12"/>
        <v>10</v>
      </c>
      <c r="AI34" s="93">
        <f t="shared" si="13"/>
        <v>15</v>
      </c>
    </row>
    <row r="35" spans="1:35" ht="15.75" customHeight="1">
      <c r="A35" s="48">
        <f t="shared" si="14"/>
        <v>32</v>
      </c>
      <c r="B35" s="21" t="s">
        <v>296</v>
      </c>
      <c r="C35" s="21" t="s">
        <v>297</v>
      </c>
      <c r="D35" s="21" t="s">
        <v>298</v>
      </c>
      <c r="E35" s="51">
        <v>45896</v>
      </c>
      <c r="F35" s="51">
        <f t="shared" si="16"/>
        <v>45901</v>
      </c>
      <c r="G35" s="56">
        <f t="shared" si="1"/>
        <v>45930</v>
      </c>
      <c r="H35" s="65" t="str">
        <f t="shared" si="19"/>
        <v>30 DAYS</v>
      </c>
      <c r="I35" s="65">
        <f t="shared" si="3"/>
        <v>24000</v>
      </c>
      <c r="J35" s="69">
        <f t="shared" si="4"/>
        <v>24000</v>
      </c>
      <c r="K35" s="69">
        <f t="shared" si="5"/>
        <v>16000</v>
      </c>
      <c r="L35" s="69">
        <f t="shared" si="6"/>
        <v>8000</v>
      </c>
      <c r="M35" s="69">
        <f t="shared" si="7"/>
        <v>8000</v>
      </c>
      <c r="N35" s="69">
        <f t="shared" si="18"/>
        <v>80000</v>
      </c>
      <c r="O35" s="74">
        <v>0</v>
      </c>
      <c r="P35" s="74">
        <v>0</v>
      </c>
      <c r="Q35" s="79">
        <f t="shared" si="8"/>
        <v>80000</v>
      </c>
      <c r="R35" s="82">
        <v>0</v>
      </c>
      <c r="S35" s="82">
        <v>0</v>
      </c>
      <c r="T35" s="82">
        <v>0</v>
      </c>
      <c r="U35" s="82">
        <v>0</v>
      </c>
      <c r="V35" s="82">
        <v>0</v>
      </c>
      <c r="W35" s="82">
        <v>0</v>
      </c>
      <c r="X35" s="85">
        <v>0</v>
      </c>
      <c r="Y35" s="86" t="s">
        <v>109</v>
      </c>
      <c r="Z35" s="82">
        <f t="shared" si="10"/>
        <v>0</v>
      </c>
      <c r="AA35" s="91">
        <f t="shared" si="11"/>
        <v>80000</v>
      </c>
      <c r="AB35" s="93" t="s">
        <v>244</v>
      </c>
      <c r="AC35" s="93">
        <v>1092834765</v>
      </c>
      <c r="AD35" s="93" t="s">
        <v>117</v>
      </c>
      <c r="AE35" s="93" t="s">
        <v>118</v>
      </c>
      <c r="AF35" s="93" t="s">
        <v>299</v>
      </c>
      <c r="AG35" s="93">
        <v>300000</v>
      </c>
      <c r="AH35" s="93">
        <f t="shared" si="12"/>
        <v>10</v>
      </c>
      <c r="AI35" s="93">
        <f t="shared" si="13"/>
        <v>15</v>
      </c>
    </row>
    <row r="36" spans="1:35" ht="15.75" customHeight="1">
      <c r="A36" s="48">
        <f t="shared" si="14"/>
        <v>33</v>
      </c>
      <c r="B36" s="21" t="s">
        <v>300</v>
      </c>
      <c r="C36" s="21" t="s">
        <v>301</v>
      </c>
      <c r="D36" s="21" t="s">
        <v>302</v>
      </c>
      <c r="E36" s="51">
        <v>45896</v>
      </c>
      <c r="F36" s="51">
        <f t="shared" si="16"/>
        <v>45901</v>
      </c>
      <c r="G36" s="56">
        <f t="shared" si="1"/>
        <v>45930</v>
      </c>
      <c r="H36" s="65" t="str">
        <f t="shared" si="19"/>
        <v>30 DAYS</v>
      </c>
      <c r="I36" s="65">
        <f t="shared" si="3"/>
        <v>24000</v>
      </c>
      <c r="J36" s="69">
        <f t="shared" si="4"/>
        <v>24000</v>
      </c>
      <c r="K36" s="69">
        <f t="shared" si="5"/>
        <v>16000</v>
      </c>
      <c r="L36" s="69">
        <f t="shared" si="6"/>
        <v>8000</v>
      </c>
      <c r="M36" s="69">
        <f t="shared" si="7"/>
        <v>8000</v>
      </c>
      <c r="N36" s="69">
        <f t="shared" si="18"/>
        <v>80000</v>
      </c>
      <c r="O36" s="74">
        <v>0</v>
      </c>
      <c r="P36" s="74">
        <v>0</v>
      </c>
      <c r="Q36" s="79">
        <f t="shared" si="8"/>
        <v>80000</v>
      </c>
      <c r="R36" s="82">
        <v>0</v>
      </c>
      <c r="S36" s="82">
        <v>0</v>
      </c>
      <c r="T36" s="82">
        <v>0</v>
      </c>
      <c r="U36" s="82">
        <v>0</v>
      </c>
      <c r="V36" s="82">
        <v>0</v>
      </c>
      <c r="W36" s="82">
        <v>0</v>
      </c>
      <c r="X36" s="85">
        <v>0</v>
      </c>
      <c r="Y36" s="86" t="s">
        <v>109</v>
      </c>
      <c r="Z36" s="82">
        <f t="shared" si="10"/>
        <v>0</v>
      </c>
      <c r="AA36" s="91">
        <f t="shared" si="11"/>
        <v>80000</v>
      </c>
      <c r="AB36" s="93" t="s">
        <v>244</v>
      </c>
      <c r="AC36" s="93">
        <v>8473621950</v>
      </c>
      <c r="AD36" s="93" t="s">
        <v>117</v>
      </c>
      <c r="AE36" s="93" t="s">
        <v>118</v>
      </c>
      <c r="AF36" s="93" t="s">
        <v>303</v>
      </c>
      <c r="AG36" s="93">
        <v>300000</v>
      </c>
      <c r="AH36" s="93">
        <f t="shared" si="12"/>
        <v>10</v>
      </c>
      <c r="AI36" s="93">
        <f t="shared" si="13"/>
        <v>15</v>
      </c>
    </row>
    <row r="37" spans="1:35" ht="15.75" customHeight="1">
      <c r="A37" s="48">
        <f t="shared" si="14"/>
        <v>34</v>
      </c>
      <c r="B37" s="21" t="s">
        <v>304</v>
      </c>
      <c r="C37" s="21" t="s">
        <v>305</v>
      </c>
      <c r="D37" s="21" t="s">
        <v>306</v>
      </c>
      <c r="E37" s="51">
        <v>45896</v>
      </c>
      <c r="F37" s="51">
        <f t="shared" si="16"/>
        <v>45901</v>
      </c>
      <c r="G37" s="56">
        <f t="shared" si="1"/>
        <v>45930</v>
      </c>
      <c r="H37" s="65" t="str">
        <f t="shared" si="19"/>
        <v>30 DAYS</v>
      </c>
      <c r="I37" s="65">
        <f t="shared" si="3"/>
        <v>24000</v>
      </c>
      <c r="J37" s="69">
        <f t="shared" si="4"/>
        <v>24000</v>
      </c>
      <c r="K37" s="69">
        <f t="shared" si="5"/>
        <v>16000</v>
      </c>
      <c r="L37" s="69">
        <f t="shared" si="6"/>
        <v>8000</v>
      </c>
      <c r="M37" s="69">
        <f t="shared" si="7"/>
        <v>8000</v>
      </c>
      <c r="N37" s="69">
        <f t="shared" si="18"/>
        <v>80000</v>
      </c>
      <c r="O37" s="74">
        <v>0</v>
      </c>
      <c r="P37" s="74">
        <v>0</v>
      </c>
      <c r="Q37" s="79">
        <f t="shared" si="8"/>
        <v>80000</v>
      </c>
      <c r="R37" s="82">
        <v>0</v>
      </c>
      <c r="S37" s="82">
        <v>0</v>
      </c>
      <c r="T37" s="82">
        <v>0</v>
      </c>
      <c r="U37" s="82">
        <v>0</v>
      </c>
      <c r="V37" s="82">
        <v>0</v>
      </c>
      <c r="W37" s="82">
        <v>0</v>
      </c>
      <c r="X37" s="85">
        <v>0</v>
      </c>
      <c r="Y37" s="86" t="s">
        <v>109</v>
      </c>
      <c r="Z37" s="82">
        <f t="shared" si="10"/>
        <v>0</v>
      </c>
      <c r="AA37" s="91">
        <f t="shared" si="11"/>
        <v>80000</v>
      </c>
      <c r="AB37" s="93" t="s">
        <v>244</v>
      </c>
      <c r="AC37" s="93">
        <v>2948571360</v>
      </c>
      <c r="AD37" s="93" t="s">
        <v>117</v>
      </c>
      <c r="AE37" s="93" t="s">
        <v>118</v>
      </c>
      <c r="AF37" s="93" t="s">
        <v>307</v>
      </c>
      <c r="AG37" s="93">
        <v>300000</v>
      </c>
      <c r="AH37" s="93">
        <f t="shared" si="12"/>
        <v>10</v>
      </c>
      <c r="AI37" s="93">
        <f t="shared" si="13"/>
        <v>15</v>
      </c>
    </row>
    <row r="38" spans="1:35" ht="15.75" customHeight="1">
      <c r="A38" s="48">
        <f t="shared" si="14"/>
        <v>35</v>
      </c>
      <c r="B38" s="21" t="s">
        <v>308</v>
      </c>
      <c r="C38" s="21" t="s">
        <v>309</v>
      </c>
      <c r="D38" s="21" t="s">
        <v>310</v>
      </c>
      <c r="E38" s="51">
        <v>45896</v>
      </c>
      <c r="F38" s="51">
        <f t="shared" si="16"/>
        <v>45901</v>
      </c>
      <c r="G38" s="56">
        <f t="shared" si="1"/>
        <v>45930</v>
      </c>
      <c r="H38" s="65" t="str">
        <f t="shared" si="19"/>
        <v>30 DAYS</v>
      </c>
      <c r="I38" s="65">
        <f t="shared" si="3"/>
        <v>24000</v>
      </c>
      <c r="J38" s="69">
        <f t="shared" si="4"/>
        <v>24000</v>
      </c>
      <c r="K38" s="69">
        <f t="shared" si="5"/>
        <v>16000</v>
      </c>
      <c r="L38" s="69">
        <f t="shared" si="6"/>
        <v>8000</v>
      </c>
      <c r="M38" s="69">
        <f t="shared" si="7"/>
        <v>8000</v>
      </c>
      <c r="N38" s="69">
        <f t="shared" si="18"/>
        <v>80000</v>
      </c>
      <c r="O38" s="74">
        <v>0</v>
      </c>
      <c r="P38" s="74">
        <v>0</v>
      </c>
      <c r="Q38" s="79">
        <f t="shared" si="8"/>
        <v>80000</v>
      </c>
      <c r="R38" s="82">
        <v>0</v>
      </c>
      <c r="S38" s="82">
        <v>0</v>
      </c>
      <c r="T38" s="82">
        <v>0</v>
      </c>
      <c r="U38" s="82">
        <v>0</v>
      </c>
      <c r="V38" s="82">
        <v>0</v>
      </c>
      <c r="W38" s="82">
        <v>0</v>
      </c>
      <c r="X38" s="85">
        <v>0</v>
      </c>
      <c r="Y38" s="86" t="s">
        <v>109</v>
      </c>
      <c r="Z38" s="82">
        <f t="shared" si="10"/>
        <v>0</v>
      </c>
      <c r="AA38" s="91">
        <f t="shared" si="11"/>
        <v>80000</v>
      </c>
      <c r="AB38" s="93" t="s">
        <v>311</v>
      </c>
      <c r="AC38" s="93">
        <v>7362910854</v>
      </c>
      <c r="AD38" s="93" t="s">
        <v>117</v>
      </c>
      <c r="AE38" s="93" t="s">
        <v>118</v>
      </c>
      <c r="AF38" s="93" t="s">
        <v>312</v>
      </c>
      <c r="AG38" s="93">
        <v>300000</v>
      </c>
      <c r="AH38" s="93">
        <f t="shared" si="12"/>
        <v>10</v>
      </c>
      <c r="AI38" s="93">
        <f t="shared" si="13"/>
        <v>15</v>
      </c>
    </row>
    <row r="39" spans="1:35" ht="15.75" customHeight="1">
      <c r="A39" s="48">
        <f t="shared" si="14"/>
        <v>36</v>
      </c>
      <c r="B39" s="21" t="s">
        <v>313</v>
      </c>
      <c r="C39" s="21" t="s">
        <v>309</v>
      </c>
      <c r="D39" s="21" t="s">
        <v>314</v>
      </c>
      <c r="E39" s="51">
        <v>45896</v>
      </c>
      <c r="F39" s="51">
        <f t="shared" si="16"/>
        <v>45901</v>
      </c>
      <c r="G39" s="56">
        <f t="shared" si="1"/>
        <v>45930</v>
      </c>
      <c r="H39" s="65" t="str">
        <f t="shared" si="19"/>
        <v>30 DAYS</v>
      </c>
      <c r="I39" s="65">
        <f t="shared" si="3"/>
        <v>24000</v>
      </c>
      <c r="J39" s="69">
        <f t="shared" si="4"/>
        <v>24000</v>
      </c>
      <c r="K39" s="69">
        <f t="shared" si="5"/>
        <v>16000</v>
      </c>
      <c r="L39" s="69">
        <f t="shared" si="6"/>
        <v>8000</v>
      </c>
      <c r="M39" s="69">
        <f t="shared" si="7"/>
        <v>8000</v>
      </c>
      <c r="N39" s="69">
        <f t="shared" si="18"/>
        <v>80000</v>
      </c>
      <c r="O39" s="74">
        <v>0</v>
      </c>
      <c r="P39" s="74">
        <v>0</v>
      </c>
      <c r="Q39" s="79">
        <f t="shared" si="8"/>
        <v>80000</v>
      </c>
      <c r="R39" s="82">
        <v>0</v>
      </c>
      <c r="S39" s="82">
        <v>0</v>
      </c>
      <c r="T39" s="82">
        <v>0</v>
      </c>
      <c r="U39" s="82">
        <v>0</v>
      </c>
      <c r="V39" s="82">
        <v>0</v>
      </c>
      <c r="W39" s="82">
        <v>0</v>
      </c>
      <c r="X39" s="85">
        <v>0</v>
      </c>
      <c r="Y39" s="86" t="s">
        <v>109</v>
      </c>
      <c r="Z39" s="82">
        <f t="shared" si="10"/>
        <v>0</v>
      </c>
      <c r="AA39" s="91">
        <f t="shared" si="11"/>
        <v>80000</v>
      </c>
      <c r="AB39" s="93" t="s">
        <v>311</v>
      </c>
      <c r="AC39" s="93">
        <v>9183742650</v>
      </c>
      <c r="AD39" s="93" t="s">
        <v>117</v>
      </c>
      <c r="AE39" s="93" t="s">
        <v>118</v>
      </c>
      <c r="AF39" s="93" t="s">
        <v>315</v>
      </c>
      <c r="AG39" s="93">
        <v>300000</v>
      </c>
      <c r="AH39" s="93">
        <f t="shared" si="12"/>
        <v>10</v>
      </c>
      <c r="AI39" s="93">
        <f t="shared" si="13"/>
        <v>15</v>
      </c>
    </row>
    <row r="40" spans="1:35" ht="15.75" customHeight="1">
      <c r="A40" s="48">
        <f t="shared" si="14"/>
        <v>37</v>
      </c>
      <c r="B40" s="21" t="s">
        <v>316</v>
      </c>
      <c r="C40" s="21" t="s">
        <v>309</v>
      </c>
      <c r="D40" s="21" t="s">
        <v>317</v>
      </c>
      <c r="E40" s="51">
        <v>45896</v>
      </c>
      <c r="F40" s="51">
        <f t="shared" si="16"/>
        <v>45901</v>
      </c>
      <c r="G40" s="56">
        <f t="shared" si="1"/>
        <v>45930</v>
      </c>
      <c r="H40" s="65" t="str">
        <f t="shared" si="19"/>
        <v>30 DAYS</v>
      </c>
      <c r="I40" s="65">
        <f t="shared" si="3"/>
        <v>24000</v>
      </c>
      <c r="J40" s="69">
        <f t="shared" si="4"/>
        <v>24000</v>
      </c>
      <c r="K40" s="69">
        <f t="shared" si="5"/>
        <v>16000</v>
      </c>
      <c r="L40" s="69">
        <f t="shared" si="6"/>
        <v>8000</v>
      </c>
      <c r="M40" s="69">
        <f t="shared" si="7"/>
        <v>8000</v>
      </c>
      <c r="N40" s="69">
        <f t="shared" si="18"/>
        <v>80000</v>
      </c>
      <c r="O40" s="74">
        <v>0</v>
      </c>
      <c r="P40" s="74">
        <v>0</v>
      </c>
      <c r="Q40" s="79">
        <f t="shared" si="8"/>
        <v>80000</v>
      </c>
      <c r="R40" s="82">
        <v>0</v>
      </c>
      <c r="S40" s="82">
        <v>0</v>
      </c>
      <c r="T40" s="82">
        <v>0</v>
      </c>
      <c r="U40" s="82">
        <v>0</v>
      </c>
      <c r="V40" s="82">
        <v>0</v>
      </c>
      <c r="W40" s="82">
        <v>0</v>
      </c>
      <c r="X40" s="85">
        <v>0</v>
      </c>
      <c r="Y40" s="86" t="s">
        <v>109</v>
      </c>
      <c r="Z40" s="82">
        <f t="shared" si="10"/>
        <v>0</v>
      </c>
      <c r="AA40" s="91">
        <f t="shared" si="11"/>
        <v>80000</v>
      </c>
      <c r="AB40" s="93" t="s">
        <v>115</v>
      </c>
      <c r="AC40" s="93">
        <v>2039481567</v>
      </c>
      <c r="AD40" s="93" t="s">
        <v>117</v>
      </c>
      <c r="AE40" s="93" t="s">
        <v>118</v>
      </c>
      <c r="AF40" s="93" t="s">
        <v>318</v>
      </c>
      <c r="AG40" s="93">
        <v>300000</v>
      </c>
      <c r="AH40" s="93">
        <f t="shared" si="12"/>
        <v>10</v>
      </c>
      <c r="AI40" s="93">
        <f t="shared" si="13"/>
        <v>15</v>
      </c>
    </row>
    <row r="41" spans="1:35" ht="15.75" customHeight="1">
      <c r="A41" s="48">
        <f t="shared" si="14"/>
        <v>38</v>
      </c>
      <c r="B41" s="21" t="s">
        <v>319</v>
      </c>
      <c r="C41" s="21" t="s">
        <v>320</v>
      </c>
      <c r="D41" s="21" t="s">
        <v>321</v>
      </c>
      <c r="E41" s="51">
        <v>45896</v>
      </c>
      <c r="F41" s="51">
        <f t="shared" si="16"/>
        <v>45901</v>
      </c>
      <c r="G41" s="56">
        <f t="shared" si="1"/>
        <v>45930</v>
      </c>
      <c r="H41" s="65" t="str">
        <f t="shared" si="19"/>
        <v>30 DAYS</v>
      </c>
      <c r="I41" s="65">
        <f t="shared" si="3"/>
        <v>24000</v>
      </c>
      <c r="J41" s="69">
        <f t="shared" si="4"/>
        <v>24000</v>
      </c>
      <c r="K41" s="69">
        <f t="shared" si="5"/>
        <v>16000</v>
      </c>
      <c r="L41" s="69">
        <f t="shared" si="6"/>
        <v>8000</v>
      </c>
      <c r="M41" s="69">
        <f t="shared" si="7"/>
        <v>8000</v>
      </c>
      <c r="N41" s="69">
        <f t="shared" si="18"/>
        <v>80000</v>
      </c>
      <c r="O41" s="74">
        <v>0</v>
      </c>
      <c r="P41" s="74">
        <v>0</v>
      </c>
      <c r="Q41" s="79">
        <f t="shared" si="8"/>
        <v>80000</v>
      </c>
      <c r="R41" s="82">
        <v>0</v>
      </c>
      <c r="S41" s="82">
        <v>0</v>
      </c>
      <c r="T41" s="82">
        <v>0</v>
      </c>
      <c r="U41" s="82">
        <v>0</v>
      </c>
      <c r="V41" s="82">
        <v>0</v>
      </c>
      <c r="W41" s="82">
        <v>0</v>
      </c>
      <c r="X41" s="85">
        <v>0</v>
      </c>
      <c r="Y41" s="86" t="s">
        <v>109</v>
      </c>
      <c r="Z41" s="82">
        <f t="shared" si="10"/>
        <v>0</v>
      </c>
      <c r="AA41" s="91">
        <f t="shared" si="11"/>
        <v>80000</v>
      </c>
      <c r="AB41" s="93" t="s">
        <v>322</v>
      </c>
      <c r="AC41" s="93">
        <v>6574832190</v>
      </c>
      <c r="AD41" s="93" t="s">
        <v>117</v>
      </c>
      <c r="AE41" s="93" t="s">
        <v>118</v>
      </c>
      <c r="AF41" s="93" t="s">
        <v>323</v>
      </c>
      <c r="AG41" s="93">
        <v>300000</v>
      </c>
      <c r="AH41" s="93">
        <f t="shared" si="12"/>
        <v>10</v>
      </c>
      <c r="AI41" s="93">
        <f t="shared" si="13"/>
        <v>15</v>
      </c>
    </row>
    <row r="42" spans="1:35" ht="15.75" customHeight="1">
      <c r="A42" s="48">
        <f t="shared" si="14"/>
        <v>39</v>
      </c>
      <c r="B42" s="21" t="s">
        <v>324</v>
      </c>
      <c r="C42" s="21" t="s">
        <v>320</v>
      </c>
      <c r="D42" s="21" t="s">
        <v>325</v>
      </c>
      <c r="E42" s="51">
        <v>45628</v>
      </c>
      <c r="F42" s="51">
        <f t="shared" si="16"/>
        <v>45901</v>
      </c>
      <c r="G42" s="56">
        <f t="shared" si="1"/>
        <v>45930</v>
      </c>
      <c r="H42" s="65" t="str">
        <f t="shared" si="19"/>
        <v>30 DAYS</v>
      </c>
      <c r="I42" s="65">
        <f t="shared" si="3"/>
        <v>27000</v>
      </c>
      <c r="J42" s="69">
        <f t="shared" si="4"/>
        <v>27000</v>
      </c>
      <c r="K42" s="69">
        <f t="shared" si="5"/>
        <v>18000</v>
      </c>
      <c r="L42" s="69">
        <f t="shared" si="6"/>
        <v>9000</v>
      </c>
      <c r="M42" s="69">
        <f t="shared" si="7"/>
        <v>9000</v>
      </c>
      <c r="N42" s="69">
        <f t="shared" ref="N42:N43" si="20">(90000/$F$1*(G42-F42+1))</f>
        <v>90000</v>
      </c>
      <c r="O42" s="74">
        <f t="shared" ref="O42:O43" si="21">$O$1</f>
        <v>0</v>
      </c>
      <c r="P42" s="74">
        <v>0</v>
      </c>
      <c r="Q42" s="79">
        <f t="shared" si="8"/>
        <v>90000</v>
      </c>
      <c r="R42" s="82">
        <v>0</v>
      </c>
      <c r="S42" s="82">
        <v>0</v>
      </c>
      <c r="T42" s="82">
        <v>0</v>
      </c>
      <c r="U42" s="82">
        <v>0</v>
      </c>
      <c r="V42" s="82">
        <v>0</v>
      </c>
      <c r="W42" s="82">
        <v>0</v>
      </c>
      <c r="X42" s="85">
        <v>0</v>
      </c>
      <c r="Y42" s="86" t="s">
        <v>109</v>
      </c>
      <c r="Z42" s="82">
        <f t="shared" si="10"/>
        <v>0</v>
      </c>
      <c r="AA42" s="91">
        <f t="shared" si="11"/>
        <v>90000</v>
      </c>
      <c r="AB42" s="93" t="s">
        <v>322</v>
      </c>
      <c r="AC42" s="93">
        <v>3847562109</v>
      </c>
      <c r="AD42" s="93" t="s">
        <v>117</v>
      </c>
      <c r="AE42" s="93" t="s">
        <v>118</v>
      </c>
      <c r="AF42" s="93" t="s">
        <v>326</v>
      </c>
      <c r="AG42" s="93">
        <v>300000</v>
      </c>
      <c r="AH42" s="93">
        <f t="shared" si="12"/>
        <v>10</v>
      </c>
      <c r="AI42" s="93">
        <f t="shared" si="13"/>
        <v>15</v>
      </c>
    </row>
    <row r="43" spans="1:35" ht="15.75" customHeight="1">
      <c r="A43" s="48">
        <f t="shared" si="14"/>
        <v>40</v>
      </c>
      <c r="B43" s="21" t="s">
        <v>327</v>
      </c>
      <c r="C43" s="21" t="s">
        <v>320</v>
      </c>
      <c r="D43" s="21" t="s">
        <v>328</v>
      </c>
      <c r="E43" s="51">
        <v>45628</v>
      </c>
      <c r="F43" s="51">
        <f t="shared" si="16"/>
        <v>45901</v>
      </c>
      <c r="G43" s="56">
        <f t="shared" si="1"/>
        <v>45930</v>
      </c>
      <c r="H43" s="65" t="str">
        <f t="shared" si="19"/>
        <v>30 DAYS</v>
      </c>
      <c r="I43" s="65">
        <f t="shared" si="3"/>
        <v>27000</v>
      </c>
      <c r="J43" s="69">
        <f t="shared" si="4"/>
        <v>27000</v>
      </c>
      <c r="K43" s="69">
        <f t="shared" si="5"/>
        <v>18000</v>
      </c>
      <c r="L43" s="69">
        <f t="shared" si="6"/>
        <v>9000</v>
      </c>
      <c r="M43" s="69">
        <f t="shared" si="7"/>
        <v>9000</v>
      </c>
      <c r="N43" s="69">
        <f t="shared" si="20"/>
        <v>90000</v>
      </c>
      <c r="O43" s="74">
        <f t="shared" si="21"/>
        <v>0</v>
      </c>
      <c r="P43" s="74">
        <v>0</v>
      </c>
      <c r="Q43" s="79">
        <f t="shared" si="8"/>
        <v>90000</v>
      </c>
      <c r="R43" s="82">
        <v>0</v>
      </c>
      <c r="S43" s="82">
        <v>0</v>
      </c>
      <c r="T43" s="82">
        <v>0</v>
      </c>
      <c r="U43" s="82">
        <v>0</v>
      </c>
      <c r="V43" s="82">
        <v>0</v>
      </c>
      <c r="W43" s="82">
        <v>0</v>
      </c>
      <c r="X43" s="85">
        <v>0</v>
      </c>
      <c r="Y43" s="86" t="s">
        <v>109</v>
      </c>
      <c r="Z43" s="82">
        <f t="shared" si="10"/>
        <v>0</v>
      </c>
      <c r="AA43" s="91">
        <f t="shared" si="11"/>
        <v>90000</v>
      </c>
      <c r="AB43" s="93" t="s">
        <v>322</v>
      </c>
      <c r="AC43" s="93">
        <v>7461923058</v>
      </c>
      <c r="AD43" s="93" t="s">
        <v>117</v>
      </c>
      <c r="AE43" s="93" t="s">
        <v>118</v>
      </c>
      <c r="AF43" s="93" t="s">
        <v>329</v>
      </c>
      <c r="AG43" s="93">
        <v>300000</v>
      </c>
      <c r="AH43" s="93">
        <f t="shared" si="12"/>
        <v>10</v>
      </c>
      <c r="AI43" s="93">
        <f t="shared" si="13"/>
        <v>15</v>
      </c>
    </row>
    <row r="44" spans="1:35" ht="15.75" customHeight="1">
      <c r="A44" s="48">
        <f t="shared" si="14"/>
        <v>41</v>
      </c>
      <c r="B44" s="21" t="s">
        <v>330</v>
      </c>
      <c r="C44" s="21" t="s">
        <v>331</v>
      </c>
      <c r="D44" s="21" t="s">
        <v>332</v>
      </c>
      <c r="E44" s="51">
        <v>45244</v>
      </c>
      <c r="F44" s="51">
        <f t="shared" si="16"/>
        <v>45901</v>
      </c>
      <c r="G44" s="56">
        <v>45926</v>
      </c>
      <c r="H44" s="65" t="str">
        <f t="shared" si="19"/>
        <v>26 DAYS</v>
      </c>
      <c r="I44" s="65">
        <f t="shared" si="3"/>
        <v>37699.999999999993</v>
      </c>
      <c r="J44" s="69">
        <f t="shared" si="4"/>
        <v>37699.999999999993</v>
      </c>
      <c r="K44" s="69">
        <f t="shared" si="5"/>
        <v>25133.333333333332</v>
      </c>
      <c r="L44" s="69">
        <f t="shared" si="6"/>
        <v>12566.666666666666</v>
      </c>
      <c r="M44" s="69">
        <f t="shared" si="7"/>
        <v>12566.666666666666</v>
      </c>
      <c r="N44" s="69">
        <f>(145000/$F$1*(G44-F44+1))</f>
        <v>125666.66666666666</v>
      </c>
      <c r="O44" s="74">
        <v>0</v>
      </c>
      <c r="P44" s="74">
        <v>0</v>
      </c>
      <c r="Q44" s="79">
        <f t="shared" si="8"/>
        <v>125666.66666666666</v>
      </c>
      <c r="R44" s="82">
        <v>0</v>
      </c>
      <c r="S44" s="82">
        <v>0</v>
      </c>
      <c r="T44" s="82">
        <v>0</v>
      </c>
      <c r="U44" s="82">
        <v>0</v>
      </c>
      <c r="V44" s="82">
        <v>0</v>
      </c>
      <c r="W44" s="82">
        <v>0</v>
      </c>
      <c r="X44" s="85">
        <v>0</v>
      </c>
      <c r="Y44" s="86" t="s">
        <v>109</v>
      </c>
      <c r="Z44" s="82">
        <f t="shared" si="10"/>
        <v>0</v>
      </c>
      <c r="AA44" s="91">
        <f t="shared" si="11"/>
        <v>125666.66666666666</v>
      </c>
      <c r="AB44" s="93" t="s">
        <v>333</v>
      </c>
      <c r="AC44" s="93">
        <v>5829307416</v>
      </c>
      <c r="AD44" s="93" t="s">
        <v>117</v>
      </c>
      <c r="AE44" s="93" t="s">
        <v>118</v>
      </c>
      <c r="AF44" s="93" t="s">
        <v>334</v>
      </c>
      <c r="AG44" s="93">
        <v>300000</v>
      </c>
      <c r="AH44" s="93">
        <f t="shared" si="12"/>
        <v>10</v>
      </c>
      <c r="AI44" s="93">
        <f t="shared" si="13"/>
        <v>15</v>
      </c>
    </row>
    <row r="45" spans="1:35" ht="15.75" customHeight="1">
      <c r="A45" s="48">
        <f t="shared" si="14"/>
        <v>42</v>
      </c>
      <c r="B45" s="21" t="s">
        <v>335</v>
      </c>
      <c r="C45" s="21" t="s">
        <v>336</v>
      </c>
      <c r="D45" s="21" t="s">
        <v>337</v>
      </c>
      <c r="E45" s="51">
        <v>45887</v>
      </c>
      <c r="F45" s="51">
        <f t="shared" si="16"/>
        <v>45901</v>
      </c>
      <c r="G45" s="56">
        <f t="shared" ref="G45:G54" si="22">$G$2</f>
        <v>45930</v>
      </c>
      <c r="H45" s="65" t="str">
        <f t="shared" si="19"/>
        <v>30 DAYS</v>
      </c>
      <c r="I45" s="65">
        <f t="shared" si="3"/>
        <v>30000</v>
      </c>
      <c r="J45" s="69">
        <f t="shared" si="4"/>
        <v>30000</v>
      </c>
      <c r="K45" s="69">
        <f t="shared" si="5"/>
        <v>20000</v>
      </c>
      <c r="L45" s="69">
        <f t="shared" si="6"/>
        <v>10000</v>
      </c>
      <c r="M45" s="69">
        <f t="shared" si="7"/>
        <v>10000</v>
      </c>
      <c r="N45" s="69">
        <f>(100000/$F$1*(G45-F45+1))</f>
        <v>100000</v>
      </c>
      <c r="O45" s="74">
        <f t="shared" ref="O45:O53" si="23">$O$1</f>
        <v>0</v>
      </c>
      <c r="P45" s="74">
        <v>0</v>
      </c>
      <c r="Q45" s="79">
        <f t="shared" si="8"/>
        <v>100000</v>
      </c>
      <c r="R45" s="82">
        <v>0</v>
      </c>
      <c r="S45" s="82">
        <v>0</v>
      </c>
      <c r="T45" s="82">
        <v>0</v>
      </c>
      <c r="U45" s="82">
        <v>0</v>
      </c>
      <c r="V45" s="82">
        <v>0</v>
      </c>
      <c r="W45" s="82">
        <v>0</v>
      </c>
      <c r="X45" s="85">
        <v>0</v>
      </c>
      <c r="Y45" s="86" t="s">
        <v>109</v>
      </c>
      <c r="Z45" s="82">
        <f t="shared" si="10"/>
        <v>0</v>
      </c>
      <c r="AA45" s="91">
        <f t="shared" si="11"/>
        <v>100000</v>
      </c>
      <c r="AB45" s="93" t="s">
        <v>322</v>
      </c>
      <c r="AC45" s="93">
        <v>1092835476</v>
      </c>
      <c r="AD45" s="93" t="s">
        <v>117</v>
      </c>
      <c r="AE45" s="93" t="s">
        <v>118</v>
      </c>
      <c r="AF45" s="93" t="s">
        <v>338</v>
      </c>
      <c r="AG45" s="93">
        <v>300000</v>
      </c>
      <c r="AH45" s="93">
        <f t="shared" si="12"/>
        <v>10</v>
      </c>
      <c r="AI45" s="93">
        <f t="shared" si="13"/>
        <v>15</v>
      </c>
    </row>
    <row r="46" spans="1:35" ht="15.75" customHeight="1">
      <c r="A46" s="48">
        <f t="shared" si="14"/>
        <v>43</v>
      </c>
      <c r="B46" s="21" t="s">
        <v>339</v>
      </c>
      <c r="C46" s="21" t="s">
        <v>340</v>
      </c>
      <c r="D46" s="21" t="s">
        <v>341</v>
      </c>
      <c r="E46" s="51">
        <v>45691</v>
      </c>
      <c r="F46" s="51">
        <f t="shared" si="16"/>
        <v>45901</v>
      </c>
      <c r="G46" s="56">
        <f t="shared" si="22"/>
        <v>45930</v>
      </c>
      <c r="H46" s="65" t="str">
        <f t="shared" si="19"/>
        <v>30 DAYS</v>
      </c>
      <c r="I46" s="65">
        <f t="shared" si="3"/>
        <v>81000</v>
      </c>
      <c r="J46" s="69">
        <f t="shared" si="4"/>
        <v>81000</v>
      </c>
      <c r="K46" s="69">
        <f t="shared" si="5"/>
        <v>54000</v>
      </c>
      <c r="L46" s="69">
        <f t="shared" si="6"/>
        <v>27000</v>
      </c>
      <c r="M46" s="69">
        <f t="shared" si="7"/>
        <v>27000</v>
      </c>
      <c r="N46" s="69">
        <f>(270000/$F$1*(G46-F46+1))</f>
        <v>270000</v>
      </c>
      <c r="O46" s="74">
        <f t="shared" si="23"/>
        <v>0</v>
      </c>
      <c r="P46" s="74">
        <v>0</v>
      </c>
      <c r="Q46" s="79">
        <f t="shared" si="8"/>
        <v>270000</v>
      </c>
      <c r="R46" s="82">
        <v>0</v>
      </c>
      <c r="S46" s="82">
        <v>0</v>
      </c>
      <c r="T46" s="82">
        <v>0</v>
      </c>
      <c r="U46" s="82">
        <v>0</v>
      </c>
      <c r="V46" s="82">
        <v>0</v>
      </c>
      <c r="W46" s="82">
        <v>100000</v>
      </c>
      <c r="X46" s="85">
        <v>0</v>
      </c>
      <c r="Y46" s="86" t="s">
        <v>109</v>
      </c>
      <c r="Z46" s="82">
        <f t="shared" si="10"/>
        <v>100000</v>
      </c>
      <c r="AA46" s="91">
        <f t="shared" si="11"/>
        <v>170000</v>
      </c>
      <c r="AB46" s="93" t="s">
        <v>322</v>
      </c>
      <c r="AC46" s="93">
        <v>8473629150</v>
      </c>
      <c r="AD46" s="93" t="s">
        <v>117</v>
      </c>
      <c r="AE46" s="93" t="s">
        <v>118</v>
      </c>
      <c r="AF46" s="93" t="s">
        <v>342</v>
      </c>
      <c r="AG46" s="93">
        <v>300000</v>
      </c>
      <c r="AH46" s="93">
        <f t="shared" si="12"/>
        <v>10</v>
      </c>
      <c r="AI46" s="93">
        <f t="shared" si="13"/>
        <v>15</v>
      </c>
    </row>
    <row r="47" spans="1:35" ht="15.75" customHeight="1">
      <c r="A47" s="48">
        <f t="shared" si="14"/>
        <v>44</v>
      </c>
      <c r="B47" s="21" t="s">
        <v>343</v>
      </c>
      <c r="C47" s="21" t="s">
        <v>344</v>
      </c>
      <c r="D47" s="21" t="s">
        <v>345</v>
      </c>
      <c r="E47" s="51">
        <v>45845</v>
      </c>
      <c r="F47" s="51">
        <f t="shared" si="16"/>
        <v>45901</v>
      </c>
      <c r="G47" s="56">
        <f t="shared" si="22"/>
        <v>45930</v>
      </c>
      <c r="H47" s="65" t="str">
        <f t="shared" si="19"/>
        <v>30 DAYS</v>
      </c>
      <c r="I47" s="65">
        <f t="shared" si="3"/>
        <v>30000</v>
      </c>
      <c r="J47" s="69">
        <f t="shared" si="4"/>
        <v>30000</v>
      </c>
      <c r="K47" s="69">
        <f t="shared" si="5"/>
        <v>20000</v>
      </c>
      <c r="L47" s="69">
        <f t="shared" si="6"/>
        <v>10000</v>
      </c>
      <c r="M47" s="69">
        <f t="shared" si="7"/>
        <v>10000</v>
      </c>
      <c r="N47" s="69">
        <f>(100000/$F$1*(G47-F47+1))</f>
        <v>100000</v>
      </c>
      <c r="O47" s="74">
        <f t="shared" si="23"/>
        <v>0</v>
      </c>
      <c r="P47" s="74">
        <v>0</v>
      </c>
      <c r="Q47" s="79">
        <f t="shared" si="8"/>
        <v>100000</v>
      </c>
      <c r="R47" s="82">
        <v>0</v>
      </c>
      <c r="S47" s="82">
        <v>0</v>
      </c>
      <c r="T47" s="82">
        <v>0</v>
      </c>
      <c r="U47" s="82">
        <v>0</v>
      </c>
      <c r="V47" s="82">
        <v>0</v>
      </c>
      <c r="W47" s="82">
        <v>0</v>
      </c>
      <c r="X47" s="85">
        <v>0</v>
      </c>
      <c r="Y47" s="86" t="s">
        <v>109</v>
      </c>
      <c r="Z47" s="82">
        <f t="shared" si="10"/>
        <v>0</v>
      </c>
      <c r="AA47" s="91">
        <f t="shared" si="11"/>
        <v>100000</v>
      </c>
      <c r="AB47" s="93" t="s">
        <v>322</v>
      </c>
      <c r="AC47" s="93">
        <v>7461928305</v>
      </c>
      <c r="AD47" s="93" t="s">
        <v>117</v>
      </c>
      <c r="AE47" s="93" t="s">
        <v>118</v>
      </c>
      <c r="AF47" s="93" t="s">
        <v>346</v>
      </c>
      <c r="AG47" s="93">
        <v>300000</v>
      </c>
      <c r="AH47" s="93">
        <f t="shared" si="12"/>
        <v>10</v>
      </c>
      <c r="AI47" s="93">
        <f t="shared" si="13"/>
        <v>15</v>
      </c>
    </row>
    <row r="48" spans="1:35" ht="15.75" customHeight="1">
      <c r="A48" s="48">
        <f t="shared" si="14"/>
        <v>45</v>
      </c>
      <c r="B48" s="21" t="s">
        <v>347</v>
      </c>
      <c r="C48" s="21" t="s">
        <v>348</v>
      </c>
      <c r="D48" s="21" t="s">
        <v>349</v>
      </c>
      <c r="E48" s="51">
        <v>45628</v>
      </c>
      <c r="F48" s="51">
        <f t="shared" si="16"/>
        <v>45901</v>
      </c>
      <c r="G48" s="56">
        <f t="shared" si="22"/>
        <v>45930</v>
      </c>
      <c r="H48" s="65" t="str">
        <f t="shared" si="19"/>
        <v>30 DAYS</v>
      </c>
      <c r="I48" s="65">
        <f t="shared" si="3"/>
        <v>31500</v>
      </c>
      <c r="J48" s="69">
        <f t="shared" si="4"/>
        <v>31500</v>
      </c>
      <c r="K48" s="69">
        <f t="shared" si="5"/>
        <v>21000</v>
      </c>
      <c r="L48" s="69">
        <f t="shared" si="6"/>
        <v>10500</v>
      </c>
      <c r="M48" s="69">
        <f t="shared" si="7"/>
        <v>10500</v>
      </c>
      <c r="N48" s="69">
        <f t="shared" ref="N48:N49" si="24">(105000/$F$1*(G48-F48+1))</f>
        <v>105000</v>
      </c>
      <c r="O48" s="74">
        <f t="shared" si="23"/>
        <v>0</v>
      </c>
      <c r="P48" s="74">
        <v>0</v>
      </c>
      <c r="Q48" s="79">
        <f t="shared" si="8"/>
        <v>105000</v>
      </c>
      <c r="R48" s="82">
        <v>0</v>
      </c>
      <c r="S48" s="82">
        <v>0</v>
      </c>
      <c r="T48" s="82">
        <v>0</v>
      </c>
      <c r="U48" s="82">
        <v>0</v>
      </c>
      <c r="V48" s="82">
        <v>0</v>
      </c>
      <c r="W48" s="82">
        <v>0</v>
      </c>
      <c r="X48" s="85">
        <v>0</v>
      </c>
      <c r="Y48" s="86" t="s">
        <v>109</v>
      </c>
      <c r="Z48" s="82">
        <f t="shared" si="10"/>
        <v>0</v>
      </c>
      <c r="AA48" s="91">
        <f t="shared" si="11"/>
        <v>105000</v>
      </c>
      <c r="AB48" s="93" t="s">
        <v>322</v>
      </c>
      <c r="AC48" s="93">
        <v>7461928305</v>
      </c>
      <c r="AD48" s="93" t="s">
        <v>117</v>
      </c>
      <c r="AE48" s="93" t="s">
        <v>118</v>
      </c>
      <c r="AF48" s="93" t="s">
        <v>350</v>
      </c>
      <c r="AG48" s="93">
        <v>300000</v>
      </c>
      <c r="AH48" s="93">
        <f t="shared" si="12"/>
        <v>10</v>
      </c>
      <c r="AI48" s="93">
        <f t="shared" si="13"/>
        <v>15</v>
      </c>
    </row>
    <row r="49" spans="1:35" ht="15.75" customHeight="1">
      <c r="A49" s="48">
        <f t="shared" si="14"/>
        <v>46</v>
      </c>
      <c r="B49" s="21" t="s">
        <v>351</v>
      </c>
      <c r="C49" s="21" t="s">
        <v>352</v>
      </c>
      <c r="D49" s="21" t="s">
        <v>353</v>
      </c>
      <c r="E49" s="51">
        <v>45512</v>
      </c>
      <c r="F49" s="51">
        <f t="shared" si="16"/>
        <v>45901</v>
      </c>
      <c r="G49" s="56">
        <f t="shared" si="22"/>
        <v>45930</v>
      </c>
      <c r="H49" s="65" t="str">
        <f t="shared" si="19"/>
        <v>30 DAYS</v>
      </c>
      <c r="I49" s="65">
        <f t="shared" si="3"/>
        <v>31500</v>
      </c>
      <c r="J49" s="69">
        <f t="shared" si="4"/>
        <v>31500</v>
      </c>
      <c r="K49" s="69">
        <f t="shared" si="5"/>
        <v>21000</v>
      </c>
      <c r="L49" s="69">
        <f t="shared" si="6"/>
        <v>10500</v>
      </c>
      <c r="M49" s="69">
        <f t="shared" si="7"/>
        <v>10500</v>
      </c>
      <c r="N49" s="69">
        <f t="shared" si="24"/>
        <v>105000</v>
      </c>
      <c r="O49" s="74">
        <f t="shared" si="23"/>
        <v>0</v>
      </c>
      <c r="P49" s="74">
        <v>0</v>
      </c>
      <c r="Q49" s="79">
        <f t="shared" si="8"/>
        <v>105000</v>
      </c>
      <c r="R49" s="82">
        <v>0</v>
      </c>
      <c r="S49" s="82">
        <v>0</v>
      </c>
      <c r="T49" s="82">
        <v>0</v>
      </c>
      <c r="U49" s="82">
        <v>0</v>
      </c>
      <c r="V49" s="82">
        <v>0</v>
      </c>
      <c r="W49" s="82">
        <v>10000</v>
      </c>
      <c r="X49" s="85">
        <v>0</v>
      </c>
      <c r="Y49" s="86" t="s">
        <v>109</v>
      </c>
      <c r="Z49" s="82">
        <f t="shared" si="10"/>
        <v>10000</v>
      </c>
      <c r="AA49" s="91">
        <f t="shared" si="11"/>
        <v>95000</v>
      </c>
      <c r="AB49" s="93" t="s">
        <v>322</v>
      </c>
      <c r="AC49" s="93">
        <v>7461928305</v>
      </c>
      <c r="AD49" s="93" t="s">
        <v>117</v>
      </c>
      <c r="AE49" s="93" t="s">
        <v>118</v>
      </c>
      <c r="AF49" s="93" t="s">
        <v>354</v>
      </c>
      <c r="AG49" s="93">
        <v>300000</v>
      </c>
      <c r="AH49" s="93">
        <f t="shared" si="12"/>
        <v>10</v>
      </c>
      <c r="AI49" s="93">
        <f t="shared" si="13"/>
        <v>15</v>
      </c>
    </row>
    <row r="50" spans="1:35" ht="15.75" customHeight="1">
      <c r="A50" s="48">
        <f t="shared" si="14"/>
        <v>47</v>
      </c>
      <c r="B50" s="21" t="s">
        <v>355</v>
      </c>
      <c r="C50" s="21" t="s">
        <v>356</v>
      </c>
      <c r="D50" s="21" t="s">
        <v>357</v>
      </c>
      <c r="E50" s="51">
        <v>45896</v>
      </c>
      <c r="F50" s="51">
        <f t="shared" si="16"/>
        <v>45901</v>
      </c>
      <c r="G50" s="56">
        <f t="shared" si="22"/>
        <v>45930</v>
      </c>
      <c r="H50" s="65" t="str">
        <f t="shared" si="19"/>
        <v>30 DAYS</v>
      </c>
      <c r="I50" s="65">
        <f t="shared" si="3"/>
        <v>30000</v>
      </c>
      <c r="J50" s="69">
        <f t="shared" si="4"/>
        <v>30000</v>
      </c>
      <c r="K50" s="69">
        <f t="shared" si="5"/>
        <v>20000</v>
      </c>
      <c r="L50" s="69">
        <f t="shared" si="6"/>
        <v>10000</v>
      </c>
      <c r="M50" s="69">
        <f t="shared" si="7"/>
        <v>10000</v>
      </c>
      <c r="N50" s="69">
        <f>(100000/$F$1*(G50-F50+1))</f>
        <v>100000</v>
      </c>
      <c r="O50" s="74">
        <f t="shared" si="23"/>
        <v>0</v>
      </c>
      <c r="P50" s="74">
        <v>0</v>
      </c>
      <c r="Q50" s="79">
        <f t="shared" si="8"/>
        <v>100000</v>
      </c>
      <c r="R50" s="82">
        <v>0</v>
      </c>
      <c r="S50" s="82">
        <v>0</v>
      </c>
      <c r="T50" s="82">
        <v>0</v>
      </c>
      <c r="U50" s="82">
        <v>0</v>
      </c>
      <c r="V50" s="82">
        <v>0</v>
      </c>
      <c r="W50" s="82">
        <v>0</v>
      </c>
      <c r="X50" s="85">
        <v>0</v>
      </c>
      <c r="Y50" s="86" t="s">
        <v>109</v>
      </c>
      <c r="Z50" s="82">
        <f t="shared" si="10"/>
        <v>0</v>
      </c>
      <c r="AA50" s="91">
        <f t="shared" si="11"/>
        <v>100000</v>
      </c>
      <c r="AB50" s="93" t="s">
        <v>322</v>
      </c>
      <c r="AC50" s="93">
        <v>7461928305</v>
      </c>
      <c r="AD50" s="93" t="s">
        <v>117</v>
      </c>
      <c r="AE50" s="93" t="s">
        <v>118</v>
      </c>
      <c r="AF50" s="93" t="s">
        <v>358</v>
      </c>
      <c r="AG50" s="93">
        <v>300000</v>
      </c>
      <c r="AH50" s="93">
        <f t="shared" si="12"/>
        <v>10</v>
      </c>
      <c r="AI50" s="93">
        <f t="shared" si="13"/>
        <v>15</v>
      </c>
    </row>
    <row r="51" spans="1:35" ht="15.75" customHeight="1">
      <c r="A51" s="48">
        <f t="shared" si="14"/>
        <v>48</v>
      </c>
      <c r="B51" s="21" t="s">
        <v>359</v>
      </c>
      <c r="C51" s="21" t="s">
        <v>360</v>
      </c>
      <c r="D51" s="21" t="s">
        <v>361</v>
      </c>
      <c r="E51" s="51">
        <v>45579</v>
      </c>
      <c r="F51" s="51">
        <f t="shared" si="16"/>
        <v>45901</v>
      </c>
      <c r="G51" s="56">
        <f t="shared" si="22"/>
        <v>45930</v>
      </c>
      <c r="H51" s="65" t="str">
        <f t="shared" si="19"/>
        <v>30 DAYS</v>
      </c>
      <c r="I51" s="65">
        <f t="shared" si="3"/>
        <v>24000</v>
      </c>
      <c r="J51" s="69">
        <f t="shared" si="4"/>
        <v>24000</v>
      </c>
      <c r="K51" s="69">
        <f t="shared" si="5"/>
        <v>16000</v>
      </c>
      <c r="L51" s="69">
        <f t="shared" si="6"/>
        <v>8000</v>
      </c>
      <c r="M51" s="69">
        <f t="shared" si="7"/>
        <v>8000</v>
      </c>
      <c r="N51" s="69">
        <f t="shared" ref="N51:N53" si="25">(80000/$F$1*(G51-F51+1))</f>
        <v>80000</v>
      </c>
      <c r="O51" s="74">
        <f t="shared" si="23"/>
        <v>0</v>
      </c>
      <c r="P51" s="74">
        <v>0</v>
      </c>
      <c r="Q51" s="79">
        <f t="shared" si="8"/>
        <v>80000</v>
      </c>
      <c r="R51" s="82">
        <v>0</v>
      </c>
      <c r="S51" s="82">
        <v>0</v>
      </c>
      <c r="T51" s="82">
        <v>0</v>
      </c>
      <c r="U51" s="82">
        <v>0</v>
      </c>
      <c r="V51" s="82">
        <v>0</v>
      </c>
      <c r="W51" s="82">
        <v>0</v>
      </c>
      <c r="X51" s="85">
        <v>0</v>
      </c>
      <c r="Y51" s="86" t="s">
        <v>109</v>
      </c>
      <c r="Z51" s="82">
        <f t="shared" si="10"/>
        <v>0</v>
      </c>
      <c r="AA51" s="91">
        <f t="shared" si="11"/>
        <v>80000</v>
      </c>
      <c r="AB51" s="93" t="s">
        <v>115</v>
      </c>
      <c r="AC51" s="93">
        <v>7461928305</v>
      </c>
      <c r="AD51" s="93" t="s">
        <v>117</v>
      </c>
      <c r="AE51" s="93" t="s">
        <v>118</v>
      </c>
      <c r="AF51" s="93" t="s">
        <v>362</v>
      </c>
      <c r="AG51" s="93">
        <v>300000</v>
      </c>
      <c r="AH51" s="93">
        <f t="shared" si="12"/>
        <v>10</v>
      </c>
      <c r="AI51" s="93">
        <f t="shared" si="13"/>
        <v>15</v>
      </c>
    </row>
    <row r="52" spans="1:35" ht="15.75" customHeight="1">
      <c r="A52" s="48">
        <f t="shared" si="14"/>
        <v>49</v>
      </c>
      <c r="B52" s="21" t="s">
        <v>363</v>
      </c>
      <c r="C52" s="21" t="s">
        <v>364</v>
      </c>
      <c r="D52" s="21" t="s">
        <v>365</v>
      </c>
      <c r="E52" s="51">
        <v>45896</v>
      </c>
      <c r="F52" s="51">
        <f t="shared" si="16"/>
        <v>45901</v>
      </c>
      <c r="G52" s="56">
        <f t="shared" si="22"/>
        <v>45930</v>
      </c>
      <c r="H52" s="65" t="str">
        <f t="shared" si="19"/>
        <v>30 DAYS</v>
      </c>
      <c r="I52" s="65">
        <f t="shared" si="3"/>
        <v>24000</v>
      </c>
      <c r="J52" s="69">
        <f t="shared" si="4"/>
        <v>24000</v>
      </c>
      <c r="K52" s="69">
        <f t="shared" si="5"/>
        <v>16000</v>
      </c>
      <c r="L52" s="69">
        <f t="shared" si="6"/>
        <v>8000</v>
      </c>
      <c r="M52" s="69">
        <f t="shared" si="7"/>
        <v>8000</v>
      </c>
      <c r="N52" s="69">
        <f t="shared" si="25"/>
        <v>80000</v>
      </c>
      <c r="O52" s="74">
        <f t="shared" si="23"/>
        <v>0</v>
      </c>
      <c r="P52" s="74">
        <v>0</v>
      </c>
      <c r="Q52" s="79">
        <f t="shared" si="8"/>
        <v>80000</v>
      </c>
      <c r="R52" s="82">
        <v>0</v>
      </c>
      <c r="S52" s="82">
        <v>0</v>
      </c>
      <c r="T52" s="82">
        <v>0</v>
      </c>
      <c r="U52" s="82">
        <v>0</v>
      </c>
      <c r="V52" s="82">
        <v>0</v>
      </c>
      <c r="W52" s="82">
        <v>0</v>
      </c>
      <c r="X52" s="85">
        <v>0</v>
      </c>
      <c r="Y52" s="86" t="s">
        <v>109</v>
      </c>
      <c r="Z52" s="82">
        <f t="shared" si="10"/>
        <v>0</v>
      </c>
      <c r="AA52" s="91">
        <f t="shared" si="11"/>
        <v>80000</v>
      </c>
      <c r="AB52" s="93" t="s">
        <v>115</v>
      </c>
      <c r="AC52" s="93">
        <v>7461928305</v>
      </c>
      <c r="AD52" s="93" t="s">
        <v>117</v>
      </c>
      <c r="AE52" s="93" t="s">
        <v>118</v>
      </c>
      <c r="AF52" s="93" t="s">
        <v>366</v>
      </c>
      <c r="AG52" s="93">
        <v>300000</v>
      </c>
      <c r="AH52" s="93">
        <f t="shared" si="12"/>
        <v>10</v>
      </c>
      <c r="AI52" s="93">
        <f t="shared" si="13"/>
        <v>15</v>
      </c>
    </row>
    <row r="53" spans="1:35" ht="15.75" customHeight="1">
      <c r="A53" s="48">
        <f t="shared" si="14"/>
        <v>50</v>
      </c>
      <c r="B53" s="21" t="s">
        <v>367</v>
      </c>
      <c r="C53" s="21" t="s">
        <v>364</v>
      </c>
      <c r="D53" s="21" t="s">
        <v>368</v>
      </c>
      <c r="E53" s="51">
        <v>45896</v>
      </c>
      <c r="F53" s="51">
        <f t="shared" si="16"/>
        <v>45901</v>
      </c>
      <c r="G53" s="56">
        <f t="shared" si="22"/>
        <v>45930</v>
      </c>
      <c r="H53" s="65" t="str">
        <f t="shared" si="19"/>
        <v>30 DAYS</v>
      </c>
      <c r="I53" s="65">
        <f t="shared" si="3"/>
        <v>24000</v>
      </c>
      <c r="J53" s="69">
        <f t="shared" si="4"/>
        <v>24000</v>
      </c>
      <c r="K53" s="69">
        <f t="shared" si="5"/>
        <v>16000</v>
      </c>
      <c r="L53" s="69">
        <f t="shared" si="6"/>
        <v>8000</v>
      </c>
      <c r="M53" s="69">
        <f t="shared" si="7"/>
        <v>8000</v>
      </c>
      <c r="N53" s="69">
        <f t="shared" si="25"/>
        <v>80000</v>
      </c>
      <c r="O53" s="74">
        <f t="shared" si="23"/>
        <v>0</v>
      </c>
      <c r="P53" s="74">
        <v>0</v>
      </c>
      <c r="Q53" s="79">
        <f t="shared" si="8"/>
        <v>80000</v>
      </c>
      <c r="R53" s="82">
        <v>0</v>
      </c>
      <c r="S53" s="82">
        <v>0</v>
      </c>
      <c r="T53" s="82">
        <v>0</v>
      </c>
      <c r="U53" s="82">
        <v>0</v>
      </c>
      <c r="V53" s="82">
        <v>0</v>
      </c>
      <c r="W53" s="82">
        <v>0</v>
      </c>
      <c r="X53" s="85">
        <v>0</v>
      </c>
      <c r="Y53" s="86" t="s">
        <v>109</v>
      </c>
      <c r="Z53" s="82">
        <f t="shared" si="10"/>
        <v>0</v>
      </c>
      <c r="AA53" s="91">
        <f t="shared" si="11"/>
        <v>80000</v>
      </c>
      <c r="AB53" s="93" t="s">
        <v>115</v>
      </c>
      <c r="AC53" s="93">
        <v>7461928305</v>
      </c>
      <c r="AD53" s="93" t="s">
        <v>117</v>
      </c>
      <c r="AE53" s="93" t="s">
        <v>118</v>
      </c>
      <c r="AF53" s="93" t="s">
        <v>369</v>
      </c>
      <c r="AG53" s="93">
        <v>300000</v>
      </c>
      <c r="AH53" s="93">
        <f t="shared" si="12"/>
        <v>10</v>
      </c>
      <c r="AI53" s="93">
        <f t="shared" si="13"/>
        <v>15</v>
      </c>
    </row>
    <row r="54" spans="1:35" ht="15.75" customHeight="1">
      <c r="A54" s="48">
        <f t="shared" si="14"/>
        <v>51</v>
      </c>
      <c r="B54" s="21" t="s">
        <v>370</v>
      </c>
      <c r="C54" s="21" t="s">
        <v>371</v>
      </c>
      <c r="D54" s="21" t="s">
        <v>372</v>
      </c>
      <c r="E54" s="51" t="s">
        <v>373</v>
      </c>
      <c r="F54" s="51">
        <f t="shared" si="16"/>
        <v>45901</v>
      </c>
      <c r="G54" s="56">
        <f t="shared" si="22"/>
        <v>45930</v>
      </c>
      <c r="H54" s="65" t="str">
        <f t="shared" si="19"/>
        <v>30 DAYS</v>
      </c>
      <c r="I54" s="65">
        <f t="shared" si="3"/>
        <v>90000</v>
      </c>
      <c r="J54" s="69">
        <f t="shared" si="4"/>
        <v>90000</v>
      </c>
      <c r="K54" s="69">
        <f t="shared" si="5"/>
        <v>60000</v>
      </c>
      <c r="L54" s="69">
        <f t="shared" si="6"/>
        <v>30000</v>
      </c>
      <c r="M54" s="69">
        <f t="shared" si="7"/>
        <v>30000</v>
      </c>
      <c r="N54" s="69">
        <v>300000</v>
      </c>
      <c r="O54" s="74">
        <v>0</v>
      </c>
      <c r="P54" s="74">
        <v>0</v>
      </c>
      <c r="Q54" s="79">
        <f t="shared" si="8"/>
        <v>300000</v>
      </c>
      <c r="R54" s="82">
        <v>0</v>
      </c>
      <c r="S54" s="82">
        <v>0</v>
      </c>
      <c r="T54" s="82">
        <v>0</v>
      </c>
      <c r="U54" s="82">
        <v>0</v>
      </c>
      <c r="V54" s="82">
        <v>0</v>
      </c>
      <c r="W54" s="82">
        <v>0</v>
      </c>
      <c r="X54" s="85">
        <v>0</v>
      </c>
      <c r="Y54" s="86" t="s">
        <v>109</v>
      </c>
      <c r="Z54" s="82">
        <f t="shared" si="10"/>
        <v>0</v>
      </c>
      <c r="AA54" s="91">
        <f t="shared" si="11"/>
        <v>300000</v>
      </c>
      <c r="AB54" s="93">
        <v>0</v>
      </c>
      <c r="AC54" s="93">
        <v>7461928305</v>
      </c>
      <c r="AD54" s="93" t="s">
        <v>117</v>
      </c>
      <c r="AE54" s="93" t="s">
        <v>118</v>
      </c>
      <c r="AF54" s="93"/>
      <c r="AG54" s="93">
        <v>300000</v>
      </c>
      <c r="AH54" s="93">
        <f t="shared" si="12"/>
        <v>10</v>
      </c>
      <c r="AI54" s="93">
        <f t="shared" si="13"/>
        <v>15</v>
      </c>
    </row>
    <row r="55" spans="1:35" ht="15.75" customHeight="1">
      <c r="A55" s="48"/>
      <c r="B55" s="21"/>
      <c r="C55" s="21"/>
      <c r="D55" s="51"/>
      <c r="E55" s="51"/>
      <c r="F55" s="65"/>
      <c r="G55" s="65"/>
      <c r="H55" s="65"/>
      <c r="I55" s="65">
        <f t="shared" ref="I55:AA55" si="26">SUM(I4:I54)</f>
        <v>1616700</v>
      </c>
      <c r="J55" s="69">
        <f t="shared" si="26"/>
        <v>1616700</v>
      </c>
      <c r="K55" s="69">
        <f t="shared" si="26"/>
        <v>1077800</v>
      </c>
      <c r="L55" s="69">
        <f t="shared" si="26"/>
        <v>538900</v>
      </c>
      <c r="M55" s="69">
        <f t="shared" si="26"/>
        <v>538900</v>
      </c>
      <c r="N55" s="69">
        <f t="shared" si="26"/>
        <v>5389000</v>
      </c>
      <c r="O55" s="74">
        <f t="shared" si="26"/>
        <v>25000</v>
      </c>
      <c r="P55" s="74">
        <f t="shared" si="26"/>
        <v>0</v>
      </c>
      <c r="Q55" s="79">
        <f t="shared" si="26"/>
        <v>5414000</v>
      </c>
      <c r="R55" s="82">
        <f t="shared" si="26"/>
        <v>54613.333333333336</v>
      </c>
      <c r="S55" s="82">
        <f t="shared" si="26"/>
        <v>0</v>
      </c>
      <c r="T55" s="82">
        <f t="shared" si="26"/>
        <v>0</v>
      </c>
      <c r="U55" s="82">
        <f t="shared" si="26"/>
        <v>0</v>
      </c>
      <c r="V55" s="82">
        <f t="shared" si="26"/>
        <v>0</v>
      </c>
      <c r="W55" s="82">
        <f t="shared" si="26"/>
        <v>160000</v>
      </c>
      <c r="X55" s="85">
        <f t="shared" si="26"/>
        <v>0</v>
      </c>
      <c r="Y55" s="82">
        <f t="shared" si="26"/>
        <v>0</v>
      </c>
      <c r="Z55" s="82">
        <f t="shared" si="26"/>
        <v>214613.33333333334</v>
      </c>
      <c r="AA55" s="91">
        <f t="shared" si="26"/>
        <v>5199386.666666666</v>
      </c>
      <c r="AB55" s="93">
        <v>0</v>
      </c>
      <c r="AC55" s="93">
        <v>0</v>
      </c>
      <c r="AD55" s="93"/>
      <c r="AE55" s="93"/>
      <c r="AF55" s="93"/>
      <c r="AG55" s="93"/>
      <c r="AH55" s="3"/>
    </row>
    <row r="56" spans="1:35" ht="15.75" customHeight="1">
      <c r="A56" s="3"/>
      <c r="AH56" s="3"/>
    </row>
    <row r="57" spans="1:35" ht="15.75" customHeight="1">
      <c r="A57" s="3"/>
      <c r="AH57" s="3"/>
    </row>
    <row r="58" spans="1:35" ht="15.75" customHeight="1">
      <c r="A58" s="3"/>
      <c r="AH58" s="3"/>
    </row>
    <row r="59" spans="1:35" ht="15.75" customHeight="1">
      <c r="A59" s="3"/>
      <c r="AH59" s="3"/>
    </row>
    <row r="60" spans="1:35" ht="15.75" customHeight="1">
      <c r="A60" s="3"/>
      <c r="AH60" s="3"/>
    </row>
    <row r="61" spans="1:35" ht="15.75" customHeight="1">
      <c r="A61" s="3"/>
      <c r="AH61" s="3"/>
    </row>
    <row r="62" spans="1:35" ht="15.75" customHeight="1">
      <c r="A62" s="3"/>
      <c r="AH62" s="3"/>
    </row>
    <row r="63" spans="1:35" ht="15.75" customHeight="1">
      <c r="A63" s="3"/>
      <c r="AH63" s="3"/>
    </row>
    <row r="64" spans="1:35" ht="15.75" customHeight="1">
      <c r="A64" s="3"/>
      <c r="AH64" s="3"/>
    </row>
    <row r="65" spans="1:34" ht="15.75" customHeight="1">
      <c r="A65" s="3"/>
      <c r="AH65" s="3"/>
    </row>
    <row r="66" spans="1:34" ht="15.75" customHeight="1">
      <c r="A66" s="3"/>
      <c r="AH66" s="3"/>
    </row>
    <row r="67" spans="1:34" ht="15.75" customHeight="1">
      <c r="A67" s="3"/>
      <c r="AH67" s="3"/>
    </row>
    <row r="68" spans="1:34" ht="15.75" customHeight="1">
      <c r="A68" s="3"/>
      <c r="AH68" s="3"/>
    </row>
    <row r="69" spans="1:34" ht="15.75" customHeight="1">
      <c r="A69" s="3"/>
      <c r="AH69" s="3"/>
    </row>
    <row r="70" spans="1:34" ht="15.75" customHeight="1">
      <c r="A70" s="3"/>
      <c r="AH70" s="3"/>
    </row>
    <row r="71" spans="1:34" ht="15.75" customHeight="1">
      <c r="A71" s="3"/>
      <c r="AH71" s="3"/>
    </row>
    <row r="72" spans="1:34" ht="15.75" customHeight="1">
      <c r="A72" s="3"/>
      <c r="AH72" s="3"/>
    </row>
    <row r="73" spans="1:34" ht="15.75" customHeight="1">
      <c r="A73" s="3"/>
      <c r="AH73" s="3"/>
    </row>
    <row r="74" spans="1:34" ht="15.75" customHeight="1">
      <c r="A74" s="3"/>
      <c r="AH74" s="3"/>
    </row>
    <row r="75" spans="1:34" ht="15.75" customHeight="1">
      <c r="A75" s="3"/>
      <c r="AH75" s="3"/>
    </row>
    <row r="76" spans="1:34" ht="15.75" customHeight="1">
      <c r="A76" s="3"/>
      <c r="AH76" s="3"/>
    </row>
    <row r="77" spans="1:34" ht="15.75" customHeight="1">
      <c r="A77" s="3"/>
      <c r="AH77" s="3"/>
    </row>
    <row r="78" spans="1:34" ht="15.75" customHeight="1">
      <c r="A78" s="3"/>
      <c r="AH78" s="3"/>
    </row>
    <row r="79" spans="1:34" ht="15.75" customHeight="1">
      <c r="A79" s="3"/>
      <c r="AH79" s="3"/>
    </row>
    <row r="80" spans="1:34" ht="15.75" customHeight="1">
      <c r="A80" s="3"/>
      <c r="AH80" s="3"/>
    </row>
    <row r="81" spans="1:34" ht="15.75" customHeight="1">
      <c r="A81" s="3"/>
      <c r="AH81" s="3"/>
    </row>
    <row r="82" spans="1:34" ht="15.75" customHeight="1">
      <c r="A82" s="3"/>
      <c r="AH82" s="3"/>
    </row>
    <row r="83" spans="1:34" ht="15.75" customHeight="1">
      <c r="A83" s="3"/>
      <c r="AH83" s="3"/>
    </row>
    <row r="84" spans="1:34" ht="15.75" customHeight="1">
      <c r="A84" s="3"/>
      <c r="AH84" s="3"/>
    </row>
    <row r="85" spans="1:34" ht="15.75" customHeight="1">
      <c r="A85" s="3"/>
      <c r="AH85" s="3"/>
    </row>
    <row r="86" spans="1:34" ht="15.75" customHeight="1">
      <c r="A86" s="3"/>
      <c r="AH86" s="3"/>
    </row>
    <row r="87" spans="1:34" ht="15.75" customHeight="1">
      <c r="A87" s="3"/>
      <c r="AH87" s="3"/>
    </row>
    <row r="88" spans="1:34" ht="15.75" customHeight="1">
      <c r="A88" s="3"/>
      <c r="AH88" s="3"/>
    </row>
    <row r="89" spans="1:34" ht="15.75" customHeight="1">
      <c r="A89" s="3"/>
      <c r="AH89" s="3"/>
    </row>
    <row r="90" spans="1:34" ht="15.75" customHeight="1">
      <c r="A90" s="3"/>
      <c r="AH90" s="3"/>
    </row>
    <row r="91" spans="1:34" ht="15.75" customHeight="1">
      <c r="A91" s="3"/>
      <c r="AH91" s="3"/>
    </row>
    <row r="92" spans="1:34" ht="15.75" customHeight="1">
      <c r="A92" s="3"/>
      <c r="AH92" s="3"/>
    </row>
    <row r="93" spans="1:34" ht="15.75" customHeight="1">
      <c r="A93" s="3"/>
      <c r="AH93" s="3"/>
    </row>
    <row r="94" spans="1:34" ht="15.75" customHeight="1">
      <c r="A94" s="3"/>
      <c r="AH94" s="3"/>
    </row>
    <row r="95" spans="1:34" ht="15.75" customHeight="1">
      <c r="A95" s="3"/>
      <c r="AH95" s="3"/>
    </row>
    <row r="96" spans="1:34" ht="15.75" customHeight="1">
      <c r="A96" s="3"/>
      <c r="AH96" s="3"/>
    </row>
    <row r="97" spans="1:34" ht="15.75" customHeight="1">
      <c r="A97" s="3"/>
      <c r="AH97" s="3"/>
    </row>
    <row r="98" spans="1:34" ht="15.75" customHeight="1">
      <c r="A98" s="3"/>
      <c r="AH98" s="3"/>
    </row>
    <row r="99" spans="1:34" ht="15.75" customHeight="1">
      <c r="A99" s="3"/>
      <c r="AH99" s="3"/>
    </row>
    <row r="100" spans="1:34" ht="15.75" customHeight="1">
      <c r="A100" s="3"/>
      <c r="AH100" s="3"/>
    </row>
    <row r="101" spans="1:34" ht="15.75" customHeight="1">
      <c r="A101" s="3"/>
      <c r="AH101" s="3"/>
    </row>
    <row r="102" spans="1:34" ht="15.75" customHeight="1">
      <c r="A102" s="3"/>
      <c r="AH102" s="3"/>
    </row>
    <row r="103" spans="1:34" ht="15.75" customHeight="1">
      <c r="A103" s="3"/>
      <c r="AH103" s="3"/>
    </row>
    <row r="104" spans="1:34" ht="15.75" customHeight="1">
      <c r="A104" s="3"/>
      <c r="AH104" s="3"/>
    </row>
    <row r="105" spans="1:34" ht="15.75" customHeight="1">
      <c r="A105" s="3"/>
      <c r="AH105" s="3"/>
    </row>
    <row r="106" spans="1:34" ht="15.75" customHeight="1">
      <c r="A106" s="3"/>
      <c r="AH106" s="3"/>
    </row>
    <row r="107" spans="1:34" ht="15.75" customHeight="1">
      <c r="A107" s="3"/>
      <c r="AH107" s="3"/>
    </row>
    <row r="108" spans="1:34" ht="15.75" customHeight="1">
      <c r="A108" s="3"/>
      <c r="AH108" s="3"/>
    </row>
    <row r="109" spans="1:34" ht="15.75" customHeight="1">
      <c r="A109" s="3"/>
      <c r="AH109" s="3"/>
    </row>
    <row r="110" spans="1:34" ht="15.75" customHeight="1">
      <c r="A110" s="3"/>
      <c r="AH110" s="3"/>
    </row>
    <row r="111" spans="1:34" ht="15.75" customHeight="1">
      <c r="A111" s="3"/>
      <c r="AH111" s="3"/>
    </row>
    <row r="112" spans="1:34" ht="15.75" customHeight="1">
      <c r="A112" s="3"/>
      <c r="AH112" s="3"/>
    </row>
    <row r="113" spans="1:34" ht="15.75" customHeight="1">
      <c r="A113" s="3"/>
      <c r="AH113" s="3"/>
    </row>
    <row r="114" spans="1:34" ht="15.75" customHeight="1">
      <c r="A114" s="3"/>
      <c r="AH114" s="3"/>
    </row>
    <row r="115" spans="1:34" ht="15.75" customHeight="1">
      <c r="A115" s="3"/>
      <c r="AH115" s="3"/>
    </row>
    <row r="116" spans="1:34" ht="15.75" customHeight="1">
      <c r="A116" s="3"/>
      <c r="AH116" s="3"/>
    </row>
    <row r="117" spans="1:34" ht="15.75" customHeight="1">
      <c r="A117" s="3"/>
      <c r="AH117" s="3"/>
    </row>
    <row r="118" spans="1:34" ht="15.75" customHeight="1">
      <c r="A118" s="3"/>
      <c r="AH118" s="3"/>
    </row>
    <row r="119" spans="1:34" ht="15.75" customHeight="1">
      <c r="A119" s="3"/>
      <c r="AH119" s="3"/>
    </row>
    <row r="120" spans="1:34" ht="15.75" customHeight="1">
      <c r="A120" s="3"/>
      <c r="AH120" s="3"/>
    </row>
    <row r="121" spans="1:34" ht="15.75" customHeight="1">
      <c r="A121" s="3"/>
      <c r="AH121" s="3"/>
    </row>
    <row r="122" spans="1:34" ht="15.75" customHeight="1">
      <c r="A122" s="3"/>
      <c r="AH122" s="3"/>
    </row>
    <row r="123" spans="1:34" ht="15.75" customHeight="1">
      <c r="A123" s="3"/>
      <c r="AH123" s="3"/>
    </row>
    <row r="124" spans="1:34" ht="15.75" customHeight="1">
      <c r="A124" s="3"/>
      <c r="AH124" s="3"/>
    </row>
    <row r="125" spans="1:34" ht="15.75" customHeight="1">
      <c r="A125" s="3"/>
      <c r="AH125" s="3"/>
    </row>
    <row r="126" spans="1:34" ht="15.75" customHeight="1">
      <c r="A126" s="3"/>
      <c r="AH126" s="3"/>
    </row>
    <row r="127" spans="1:34" ht="15.75" customHeight="1">
      <c r="A127" s="3"/>
      <c r="AH127" s="3"/>
    </row>
    <row r="128" spans="1:34" ht="15.75" customHeight="1">
      <c r="A128" s="3"/>
      <c r="AH128" s="3"/>
    </row>
    <row r="129" spans="1:34" ht="15.75" customHeight="1">
      <c r="A129" s="3"/>
      <c r="AH129" s="3"/>
    </row>
    <row r="130" spans="1:34" ht="15.75" customHeight="1">
      <c r="A130" s="3"/>
      <c r="AH130" s="3"/>
    </row>
    <row r="131" spans="1:34" ht="15.75" customHeight="1">
      <c r="A131" s="3"/>
      <c r="AH131" s="3"/>
    </row>
    <row r="132" spans="1:34" ht="15.75" customHeight="1">
      <c r="A132" s="3"/>
      <c r="AH132" s="3"/>
    </row>
    <row r="133" spans="1:34" ht="15.75" customHeight="1">
      <c r="A133" s="3"/>
      <c r="AH133" s="3"/>
    </row>
    <row r="134" spans="1:34" ht="15.75" customHeight="1">
      <c r="A134" s="3"/>
      <c r="AH134" s="3"/>
    </row>
    <row r="135" spans="1:34" ht="15.75" customHeight="1">
      <c r="A135" s="3"/>
      <c r="AH135" s="3"/>
    </row>
    <row r="136" spans="1:34" ht="15.75" customHeight="1">
      <c r="A136" s="3"/>
      <c r="AH136" s="3"/>
    </row>
    <row r="137" spans="1:34" ht="15.75" customHeight="1">
      <c r="A137" s="3"/>
      <c r="AH137" s="3"/>
    </row>
    <row r="138" spans="1:34" ht="15.75" customHeight="1">
      <c r="A138" s="3"/>
      <c r="AH138" s="3"/>
    </row>
    <row r="139" spans="1:34" ht="15.75" customHeight="1">
      <c r="A139" s="3"/>
      <c r="AH139" s="3"/>
    </row>
    <row r="140" spans="1:34" ht="15.75" customHeight="1">
      <c r="A140" s="3"/>
      <c r="AH140" s="3"/>
    </row>
    <row r="141" spans="1:34" ht="15.75" customHeight="1">
      <c r="A141" s="3"/>
      <c r="AH141" s="3"/>
    </row>
    <row r="142" spans="1:34" ht="15.75" customHeight="1">
      <c r="A142" s="3"/>
      <c r="AH142" s="3"/>
    </row>
    <row r="143" spans="1:34" ht="15.75" customHeight="1">
      <c r="A143" s="3"/>
      <c r="AH143" s="3"/>
    </row>
    <row r="144" spans="1:34" ht="15.75" customHeight="1">
      <c r="A144" s="3"/>
      <c r="AH144" s="3"/>
    </row>
    <row r="145" spans="1:34" ht="15.75" customHeight="1">
      <c r="A145" s="3"/>
      <c r="AH145" s="3"/>
    </row>
    <row r="146" spans="1:34" ht="15.75" customHeight="1">
      <c r="A146" s="3"/>
      <c r="AH146" s="3"/>
    </row>
    <row r="147" spans="1:34" ht="15.75" customHeight="1">
      <c r="A147" s="3"/>
      <c r="AH147" s="3"/>
    </row>
    <row r="148" spans="1:34" ht="15.75" customHeight="1">
      <c r="A148" s="3"/>
      <c r="AH148" s="3"/>
    </row>
    <row r="149" spans="1:34" ht="15.75" customHeight="1">
      <c r="A149" s="3"/>
      <c r="AH149" s="3"/>
    </row>
    <row r="150" spans="1:34" ht="15.75" customHeight="1">
      <c r="A150" s="3"/>
      <c r="AH150" s="3"/>
    </row>
    <row r="151" spans="1:34" ht="15.75" customHeight="1">
      <c r="A151" s="3"/>
      <c r="AH151" s="3"/>
    </row>
    <row r="152" spans="1:34" ht="15.75" customHeight="1">
      <c r="A152" s="3"/>
      <c r="AH152" s="3"/>
    </row>
    <row r="153" spans="1:34" ht="15.75" customHeight="1">
      <c r="A153" s="3"/>
      <c r="AH153" s="3"/>
    </row>
    <row r="154" spans="1:34" ht="15.75" customHeight="1">
      <c r="A154" s="3"/>
      <c r="AH154" s="3"/>
    </row>
    <row r="155" spans="1:34" ht="15.75" customHeight="1">
      <c r="A155" s="3"/>
      <c r="AH155" s="3"/>
    </row>
    <row r="156" spans="1:34" ht="15.75" customHeight="1">
      <c r="A156" s="3"/>
      <c r="AH156" s="3"/>
    </row>
    <row r="157" spans="1:34" ht="15.75" customHeight="1">
      <c r="A157" s="3"/>
      <c r="AH157" s="3"/>
    </row>
    <row r="158" spans="1:34" ht="15.75" customHeight="1">
      <c r="A158" s="3"/>
      <c r="AH158" s="3"/>
    </row>
    <row r="159" spans="1:34" ht="15.75" customHeight="1">
      <c r="A159" s="3"/>
      <c r="AH159" s="3"/>
    </row>
    <row r="160" spans="1:34" ht="15.75" customHeight="1">
      <c r="A160" s="3"/>
      <c r="AH160" s="3"/>
    </row>
    <row r="161" spans="1:34" ht="15.75" customHeight="1">
      <c r="A161" s="3"/>
      <c r="AH161" s="3"/>
    </row>
    <row r="162" spans="1:34" ht="15.75" customHeight="1">
      <c r="A162" s="3"/>
      <c r="AH162" s="3"/>
    </row>
    <row r="163" spans="1:34" ht="15.75" customHeight="1">
      <c r="A163" s="3"/>
      <c r="AH163" s="3"/>
    </row>
    <row r="164" spans="1:34" ht="15.75" customHeight="1">
      <c r="A164" s="3"/>
      <c r="AH164" s="3"/>
    </row>
    <row r="165" spans="1:34" ht="15.75" customHeight="1">
      <c r="A165" s="3"/>
      <c r="AH165" s="3"/>
    </row>
    <row r="166" spans="1:34" ht="15.75" customHeight="1">
      <c r="A166" s="3"/>
      <c r="AH166" s="3"/>
    </row>
    <row r="167" spans="1:34" ht="15.75" customHeight="1">
      <c r="A167" s="3"/>
      <c r="AH167" s="3"/>
    </row>
    <row r="168" spans="1:34" ht="15.75" customHeight="1">
      <c r="A168" s="3"/>
      <c r="AH168" s="3"/>
    </row>
    <row r="169" spans="1:34" ht="15.75" customHeight="1">
      <c r="A169" s="3"/>
      <c r="AH169" s="3"/>
    </row>
    <row r="170" spans="1:34" ht="15.75" customHeight="1">
      <c r="A170" s="3"/>
      <c r="AH170" s="3"/>
    </row>
    <row r="171" spans="1:34" ht="15.75" customHeight="1">
      <c r="A171" s="3"/>
      <c r="AH171" s="3"/>
    </row>
    <row r="172" spans="1:34" ht="15.75" customHeight="1">
      <c r="A172" s="3"/>
      <c r="AH172" s="3"/>
    </row>
    <row r="173" spans="1:34" ht="15.75" customHeight="1">
      <c r="A173" s="3"/>
      <c r="AH173" s="3"/>
    </row>
    <row r="174" spans="1:34" ht="15.75" customHeight="1">
      <c r="A174" s="3"/>
      <c r="AH174" s="3"/>
    </row>
    <row r="175" spans="1:34" ht="15.75" customHeight="1">
      <c r="A175" s="3"/>
      <c r="AH175" s="3"/>
    </row>
    <row r="176" spans="1:34" ht="15.75" customHeight="1">
      <c r="A176" s="3"/>
      <c r="AH176" s="3"/>
    </row>
    <row r="177" spans="1:34" ht="15.75" customHeight="1">
      <c r="A177" s="3"/>
      <c r="AH177" s="3"/>
    </row>
    <row r="178" spans="1:34" ht="15.75" customHeight="1">
      <c r="A178" s="3"/>
      <c r="AH178" s="3"/>
    </row>
    <row r="179" spans="1:34" ht="15.75" customHeight="1">
      <c r="A179" s="3"/>
      <c r="AH179" s="3"/>
    </row>
    <row r="180" spans="1:34" ht="15.75" customHeight="1">
      <c r="A180" s="3"/>
      <c r="AH180" s="3"/>
    </row>
    <row r="181" spans="1:34" ht="15.75" customHeight="1">
      <c r="A181" s="3"/>
      <c r="AH181" s="3"/>
    </row>
    <row r="182" spans="1:34" ht="15.75" customHeight="1">
      <c r="A182" s="3"/>
      <c r="AH182" s="3"/>
    </row>
    <row r="183" spans="1:34" ht="15.75" customHeight="1">
      <c r="A183" s="3"/>
      <c r="AH183" s="3"/>
    </row>
    <row r="184" spans="1:34" ht="15.75" customHeight="1">
      <c r="A184" s="3"/>
      <c r="AH184" s="3"/>
    </row>
    <row r="185" spans="1:34" ht="15.75" customHeight="1">
      <c r="A185" s="3"/>
      <c r="AH185" s="3"/>
    </row>
    <row r="186" spans="1:34" ht="15.75" customHeight="1">
      <c r="A186" s="3"/>
      <c r="AH186" s="3"/>
    </row>
    <row r="187" spans="1:34" ht="15.75" customHeight="1">
      <c r="A187" s="3"/>
      <c r="AH187" s="3"/>
    </row>
    <row r="188" spans="1:34" ht="15.75" customHeight="1">
      <c r="A188" s="3"/>
      <c r="AH188" s="3"/>
    </row>
    <row r="189" spans="1:34" ht="15.75" customHeight="1">
      <c r="A189" s="3"/>
      <c r="AH189" s="3"/>
    </row>
    <row r="190" spans="1:34" ht="15.75" customHeight="1">
      <c r="A190" s="3"/>
      <c r="AH190" s="3"/>
    </row>
    <row r="191" spans="1:34" ht="15.75" customHeight="1">
      <c r="A191" s="3"/>
      <c r="AH191" s="3"/>
    </row>
    <row r="192" spans="1:34" ht="15.75" customHeight="1">
      <c r="A192" s="3"/>
      <c r="AH192" s="3"/>
    </row>
    <row r="193" spans="1:34" ht="15.75" customHeight="1">
      <c r="A193" s="3"/>
      <c r="AH193" s="3"/>
    </row>
    <row r="194" spans="1:34" ht="15.75" customHeight="1">
      <c r="A194" s="3"/>
      <c r="AH194" s="3"/>
    </row>
    <row r="195" spans="1:34" ht="15.75" customHeight="1">
      <c r="A195" s="3"/>
      <c r="AH195" s="3"/>
    </row>
    <row r="196" spans="1:34" ht="15.75" customHeight="1">
      <c r="A196" s="3"/>
      <c r="AH196" s="3"/>
    </row>
    <row r="197" spans="1:34" ht="15.75" customHeight="1">
      <c r="A197" s="3"/>
      <c r="AH197" s="3"/>
    </row>
    <row r="198" spans="1:34" ht="15.75" customHeight="1">
      <c r="A198" s="3"/>
      <c r="AH198" s="3"/>
    </row>
    <row r="199" spans="1:34" ht="15.75" customHeight="1">
      <c r="A199" s="3"/>
      <c r="AH199" s="3"/>
    </row>
    <row r="200" spans="1:34" ht="15.75" customHeight="1">
      <c r="A200" s="3"/>
      <c r="AH200" s="3"/>
    </row>
    <row r="201" spans="1:34" ht="15.75" customHeight="1">
      <c r="A201" s="3"/>
      <c r="AH201" s="3"/>
    </row>
    <row r="202" spans="1:34" ht="15.75" customHeight="1">
      <c r="A202" s="3"/>
      <c r="AH202" s="3"/>
    </row>
    <row r="203" spans="1:34" ht="15.75" customHeight="1">
      <c r="A203" s="3"/>
      <c r="AH203" s="3"/>
    </row>
    <row r="204" spans="1:34" ht="15.75" customHeight="1">
      <c r="A204" s="3"/>
      <c r="AH204" s="3"/>
    </row>
    <row r="205" spans="1:34" ht="15.75" customHeight="1">
      <c r="A205" s="3"/>
      <c r="AH205" s="3"/>
    </row>
    <row r="206" spans="1:34" ht="15.75" customHeight="1">
      <c r="A206" s="3"/>
      <c r="AH206" s="3"/>
    </row>
    <row r="207" spans="1:34" ht="15.75" customHeight="1">
      <c r="A207" s="3"/>
      <c r="AH207" s="3"/>
    </row>
    <row r="208" spans="1:34" ht="15.75" customHeight="1">
      <c r="A208" s="3"/>
      <c r="AH208" s="3"/>
    </row>
    <row r="209" spans="1:34" ht="15.75" customHeight="1">
      <c r="A209" s="3"/>
      <c r="AH209" s="3"/>
    </row>
    <row r="210" spans="1:34" ht="15.75" customHeight="1">
      <c r="A210" s="3"/>
      <c r="AH210" s="3"/>
    </row>
    <row r="211" spans="1:34" ht="15.75" customHeight="1">
      <c r="A211" s="3"/>
      <c r="AH211" s="3"/>
    </row>
    <row r="212" spans="1:34" ht="15.75" customHeight="1">
      <c r="A212" s="3"/>
      <c r="AH212" s="3"/>
    </row>
    <row r="213" spans="1:34" ht="15.75" customHeight="1">
      <c r="A213" s="3"/>
      <c r="AH213" s="3"/>
    </row>
    <row r="214" spans="1:34" ht="15.75" customHeight="1">
      <c r="A214" s="3"/>
      <c r="AH214" s="3"/>
    </row>
    <row r="215" spans="1:34" ht="15.75" customHeight="1">
      <c r="A215" s="3"/>
      <c r="AH215" s="3"/>
    </row>
    <row r="216" spans="1:34" ht="15.75" customHeight="1">
      <c r="A216" s="3"/>
      <c r="AH216" s="3"/>
    </row>
    <row r="217" spans="1:34" ht="15.75" customHeight="1">
      <c r="A217" s="3"/>
      <c r="AH217" s="3"/>
    </row>
    <row r="218" spans="1:34" ht="15.75" customHeight="1">
      <c r="A218" s="3"/>
      <c r="AH218" s="3"/>
    </row>
    <row r="219" spans="1:34" ht="15.75" customHeight="1">
      <c r="A219" s="3"/>
      <c r="AH219" s="3"/>
    </row>
    <row r="220" spans="1:34" ht="15.75" customHeight="1">
      <c r="A220" s="3"/>
      <c r="AH220" s="3"/>
    </row>
    <row r="221" spans="1:34" ht="15.75" customHeight="1">
      <c r="A221" s="3"/>
      <c r="AH221" s="3"/>
    </row>
    <row r="222" spans="1:34" ht="15.75" customHeight="1">
      <c r="A222" s="3"/>
      <c r="AH222" s="3"/>
    </row>
    <row r="223" spans="1:34" ht="15.75" customHeight="1">
      <c r="A223" s="3"/>
      <c r="AH223" s="3"/>
    </row>
    <row r="224" spans="1:34" ht="15.75" customHeight="1">
      <c r="A224" s="3"/>
      <c r="AH224" s="3"/>
    </row>
    <row r="225" spans="1:34" ht="15.75" customHeight="1">
      <c r="A225" s="3"/>
      <c r="AH225" s="3"/>
    </row>
    <row r="226" spans="1:34" ht="15.75" customHeight="1">
      <c r="A226" s="3"/>
      <c r="AH226" s="3"/>
    </row>
    <row r="227" spans="1:34" ht="15.75" customHeight="1">
      <c r="A227" s="3"/>
      <c r="AH227" s="3"/>
    </row>
    <row r="228" spans="1:34" ht="15.75" customHeight="1">
      <c r="A228" s="3"/>
      <c r="AH228" s="3"/>
    </row>
    <row r="229" spans="1:34" ht="15.75" customHeight="1">
      <c r="A229" s="3"/>
      <c r="AH229" s="3"/>
    </row>
    <row r="230" spans="1:34" ht="15.75" customHeight="1">
      <c r="A230" s="3"/>
      <c r="AH230" s="3"/>
    </row>
    <row r="231" spans="1:34" ht="15.75" customHeight="1">
      <c r="A231" s="3"/>
      <c r="AH231" s="3"/>
    </row>
    <row r="232" spans="1:34" ht="15.75" customHeight="1">
      <c r="A232" s="3"/>
      <c r="AH232" s="3"/>
    </row>
    <row r="233" spans="1:34" ht="15.75" customHeight="1">
      <c r="A233" s="3"/>
      <c r="AH233" s="3"/>
    </row>
    <row r="234" spans="1:34" ht="15.75" customHeight="1">
      <c r="A234" s="3"/>
      <c r="AH234" s="3"/>
    </row>
    <row r="235" spans="1:34" ht="15.75" customHeight="1">
      <c r="A235" s="3"/>
      <c r="AH235" s="3"/>
    </row>
    <row r="236" spans="1:34" ht="15.75" customHeight="1">
      <c r="A236" s="3"/>
      <c r="AH236" s="3"/>
    </row>
    <row r="237" spans="1:34" ht="15.75" customHeight="1">
      <c r="A237" s="3"/>
      <c r="AH237" s="3"/>
    </row>
    <row r="238" spans="1:34" ht="15.75" customHeight="1">
      <c r="A238" s="3"/>
      <c r="AH238" s="3"/>
    </row>
    <row r="239" spans="1:34" ht="15.75" customHeight="1">
      <c r="A239" s="3"/>
      <c r="AH239" s="3"/>
    </row>
    <row r="240" spans="1:34" ht="15.75" customHeight="1">
      <c r="A240" s="3"/>
      <c r="AH240" s="3"/>
    </row>
    <row r="241" spans="1:34" ht="15.75" customHeight="1">
      <c r="A241" s="3"/>
      <c r="AH241" s="3"/>
    </row>
    <row r="242" spans="1:34" ht="15.75" customHeight="1">
      <c r="A242" s="3"/>
      <c r="AH242" s="3"/>
    </row>
    <row r="243" spans="1:34" ht="15.75" customHeight="1">
      <c r="A243" s="3"/>
      <c r="AH243" s="3"/>
    </row>
    <row r="244" spans="1:34" ht="15.75" customHeight="1">
      <c r="A244" s="3"/>
      <c r="AH244" s="3"/>
    </row>
    <row r="245" spans="1:34" ht="15.75" customHeight="1">
      <c r="A245" s="3"/>
      <c r="AH245" s="3"/>
    </row>
    <row r="246" spans="1:34" ht="15.75" customHeight="1">
      <c r="A246" s="3"/>
      <c r="AH246" s="3"/>
    </row>
    <row r="247" spans="1:34" ht="15.75" customHeight="1">
      <c r="A247" s="3"/>
      <c r="AH247" s="3"/>
    </row>
    <row r="248" spans="1:34" ht="15.75" customHeight="1">
      <c r="A248" s="3"/>
      <c r="AH248" s="3"/>
    </row>
    <row r="249" spans="1:34" ht="15.75" customHeight="1">
      <c r="A249" s="3"/>
      <c r="AH249" s="3"/>
    </row>
    <row r="250" spans="1:34" ht="15.75" customHeight="1">
      <c r="A250" s="3"/>
      <c r="AH250" s="3"/>
    </row>
    <row r="251" spans="1:34" ht="15.75" customHeight="1">
      <c r="A251" s="3"/>
      <c r="AH251" s="3"/>
    </row>
    <row r="252" spans="1:34" ht="15.75" customHeight="1">
      <c r="A252" s="3"/>
      <c r="AH252" s="3"/>
    </row>
    <row r="253" spans="1:34" ht="15.75" customHeight="1">
      <c r="A253" s="3"/>
      <c r="AH253" s="3"/>
    </row>
    <row r="254" spans="1:34" ht="15.75" customHeight="1">
      <c r="A254" s="3"/>
      <c r="AH254" s="3"/>
    </row>
    <row r="255" spans="1:34" ht="15.75" customHeight="1">
      <c r="A255" s="3"/>
      <c r="AH255" s="3"/>
    </row>
    <row r="256" spans="1:3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AF55" xr:uid="{00000000-0009-0000-0000-000000000000}">
    <sortState xmlns:xlrd2="http://schemas.microsoft.com/office/spreadsheetml/2017/richdata2" ref="A3:AF55">
      <sortCondition ref="B3:B55"/>
      <sortCondition ref="E3:E55"/>
      <sortCondition ref="D3:D55"/>
      <sortCondition ref="A3:A55"/>
      <sortCondition ref="Z3:Z55"/>
      <sortCondition ref="C3:C55"/>
    </sortState>
  </autoFilter>
  <mergeCells count="2">
    <mergeCell ref="F1:G1"/>
    <mergeCell ref="Q1:S1"/>
  </mergeCells>
  <conditionalFormatting sqref="A14:A153">
    <cfRule type="cellIs" dxfId="2" priority="1" operator="notEqual">
      <formula>15</formula>
    </cfRule>
  </conditionalFormatting>
  <conditionalFormatting sqref="AH4:AH54">
    <cfRule type="cellIs" dxfId="1" priority="2" operator="notEqual">
      <formula>10</formula>
    </cfRule>
  </conditionalFormatting>
  <conditionalFormatting sqref="AI4:AI54">
    <cfRule type="cellIs" dxfId="0" priority="3" operator="notEqual">
      <formula>15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topLeftCell="B7" workbookViewId="0"/>
  </sheetViews>
  <sheetFormatPr defaultColWidth="12.5703125" defaultRowHeight="15" customHeight="1"/>
  <cols>
    <col min="1" max="1" width="6.5703125" hidden="1" customWidth="1"/>
    <col min="2" max="2" width="3" customWidth="1"/>
    <col min="3" max="3" width="18.42578125" customWidth="1"/>
    <col min="4" max="4" width="24.7109375" customWidth="1"/>
    <col min="5" max="5" width="21.28515625" customWidth="1"/>
    <col min="6" max="6" width="31.85546875" customWidth="1"/>
    <col min="7" max="7" width="2.7109375" customWidth="1"/>
    <col min="8" max="9" width="7.5703125" customWidth="1"/>
    <col min="10" max="10" width="8.85546875" customWidth="1"/>
    <col min="11" max="11" width="9.85546875" customWidth="1"/>
    <col min="12" max="26" width="7.5703125" customWidth="1"/>
  </cols>
  <sheetData>
    <row r="1" spans="1:26" ht="19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3.75" customHeight="1">
      <c r="A2" s="4"/>
      <c r="B2" s="4"/>
      <c r="C2" s="200" t="s">
        <v>2</v>
      </c>
      <c r="D2" s="201"/>
      <c r="E2" s="201"/>
      <c r="F2" s="202"/>
      <c r="G2" s="4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1.25" customHeight="1">
      <c r="A3" s="10"/>
      <c r="B3" s="10"/>
      <c r="C3" s="13"/>
      <c r="D3" s="4"/>
      <c r="E3" s="4"/>
      <c r="F3" s="18"/>
      <c r="G3" s="4"/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.75" customHeight="1">
      <c r="A4" s="4"/>
      <c r="B4" s="4"/>
      <c r="C4" s="203" t="s">
        <v>19</v>
      </c>
      <c r="D4" s="204" t="str">
        <f>VLOOKUP($B$36,PAYROLL!A3:AF78,2,1)</f>
        <v xml:space="preserve"> Abdullahi Dabai</v>
      </c>
      <c r="E4" s="27" t="s">
        <v>27</v>
      </c>
      <c r="F4" s="34" t="str">
        <f>VLOOKUP($B$36,PAYROLL!$A$3:$AF$78,4,0)</f>
        <v>OTL/0005</v>
      </c>
      <c r="G4" s="4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>
      <c r="A5" s="4"/>
      <c r="B5" s="4"/>
      <c r="C5" s="195"/>
      <c r="D5" s="191"/>
      <c r="E5" s="27" t="s">
        <v>33</v>
      </c>
      <c r="F5" s="34">
        <f>VLOOKUP($B$36,PAYROLL!$A$3:$AF$78,5,0)</f>
        <v>45489</v>
      </c>
      <c r="G5" s="4"/>
      <c r="H5" s="8"/>
      <c r="I5" s="4"/>
      <c r="J5" s="4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" customHeight="1">
      <c r="A6" s="4"/>
      <c r="B6" s="4"/>
      <c r="C6" s="23" t="s">
        <v>58</v>
      </c>
      <c r="D6" s="46">
        <f>PAYROLL!C1</f>
        <v>45960</v>
      </c>
      <c r="E6" s="27" t="s">
        <v>68</v>
      </c>
      <c r="F6" s="49" t="str">
        <f>VLOOKUP($B$36,PAYROLL!$A$3:$AF$78,3,0)</f>
        <v>HR MANAGER</v>
      </c>
      <c r="G6" s="4"/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4"/>
      <c r="C7" s="23" t="s">
        <v>76</v>
      </c>
      <c r="D7" s="54" t="str">
        <f>VLOOKUP($B$36,PAYROLL!$A$3:$AF$78,8,0)</f>
        <v>30 DAYS</v>
      </c>
      <c r="E7" s="27" t="s">
        <v>78</v>
      </c>
      <c r="F7" s="58" t="str">
        <f>VLOOKUP($B$36,PAYROLL!$A$3:$AF$78,28,0)</f>
        <v>ACCESS BANK</v>
      </c>
      <c r="G7" s="4"/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23" t="s">
        <v>84</v>
      </c>
      <c r="D8" s="62" t="str">
        <f>VLOOKUP($B$36,PAYROLL!$A$3:$AF$78,32,0)</f>
        <v>QRST8#</v>
      </c>
      <c r="E8" s="27" t="s">
        <v>86</v>
      </c>
      <c r="F8" s="66">
        <f>VLOOKUP($B$36,PAYROLL!$A$3:$AF$78,29,0)</f>
        <v>9182736450</v>
      </c>
      <c r="G8" s="4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4"/>
      <c r="C9" s="23" t="s">
        <v>91</v>
      </c>
      <c r="D9" s="62" t="str">
        <f>VLOOKUP($B$36,PAYROLL!$A$3:$AF$78,31,0)</f>
        <v>PENXXXXXXXXXXXX</v>
      </c>
      <c r="E9" s="27" t="s">
        <v>92</v>
      </c>
      <c r="F9" s="66" t="str">
        <f>VLOOKUP($B$36,PAYROLL!$A$3:$AF$78,30,0)</f>
        <v>XXY@GMAIL.COM</v>
      </c>
      <c r="G9" s="4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/>
      <c r="B10" s="4"/>
      <c r="C10" s="71" t="s">
        <v>95</v>
      </c>
      <c r="D10" s="73" t="s">
        <v>97</v>
      </c>
      <c r="E10" s="73" t="s">
        <v>100</v>
      </c>
      <c r="F10" s="76" t="s">
        <v>97</v>
      </c>
      <c r="G10" s="4"/>
      <c r="H10" s="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9.25" customHeight="1">
      <c r="A11" s="4"/>
      <c r="B11" s="4"/>
      <c r="C11" s="78" t="s">
        <v>105</v>
      </c>
      <c r="D11" s="81">
        <f>VLOOKUP($B$36,PAYROLL!$A$3:$AF$78,9,0)</f>
        <v>81000</v>
      </c>
      <c r="E11" s="84" t="s">
        <v>107</v>
      </c>
      <c r="F11" s="88">
        <f>VLOOKUP($B$36,PAYROLL!$A$3:$AF$78,18,0)</f>
        <v>0</v>
      </c>
      <c r="G11" s="4"/>
      <c r="H11" s="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78" t="s">
        <v>114</v>
      </c>
      <c r="D12" s="81">
        <f>VLOOKUP($B$36,PAYROLL!$A$3:$AF$78,10,0)</f>
        <v>81000</v>
      </c>
      <c r="E12" s="84" t="s">
        <v>116</v>
      </c>
      <c r="F12" s="88" t="str">
        <f>VLOOKUP($B$36,PAYROLL!$A$3:$AF$78,19,0)</f>
        <v>₦29,600.00</v>
      </c>
      <c r="G12" s="4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78" t="s">
        <v>120</v>
      </c>
      <c r="D13" s="81">
        <f>VLOOKUP($B$36,PAYROLL!$A$3:$AF$78,11,0)</f>
        <v>54000</v>
      </c>
      <c r="E13" s="84" t="s">
        <v>123</v>
      </c>
      <c r="F13" s="88">
        <f>VLOOKUP($B$36,PAYROLL!$A$3:$AF$78,20,0)</f>
        <v>0</v>
      </c>
      <c r="G13" s="4"/>
      <c r="H13" s="8"/>
      <c r="I13" s="4"/>
      <c r="J13" s="2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/>
      <c r="C14" s="78" t="s">
        <v>128</v>
      </c>
      <c r="D14" s="81">
        <f>VLOOKUP($B$36,PAYROLL!$A$3:$AF$78,12,0)</f>
        <v>27000</v>
      </c>
      <c r="E14" s="84" t="s">
        <v>13</v>
      </c>
      <c r="F14" s="88">
        <f>VLOOKUP($B$36,PAYROLL!$A$3:$AF$78,21,0)</f>
        <v>0</v>
      </c>
      <c r="G14" s="4"/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/>
      <c r="C15" s="78" t="s">
        <v>138</v>
      </c>
      <c r="D15" s="81">
        <f>VLOOKUP($B$36,PAYROLL!$A$3:$AF$78,13,0)</f>
        <v>27000</v>
      </c>
      <c r="E15" s="84" t="s">
        <v>139</v>
      </c>
      <c r="F15" s="88">
        <f>VLOOKUP($B$36,PAYROLL!$A$3:$AF$78,22,0)</f>
        <v>0</v>
      </c>
      <c r="G15" s="4"/>
      <c r="H15" s="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78" t="s">
        <v>140</v>
      </c>
      <c r="D16" s="113">
        <f>SUM(D11:D15)</f>
        <v>270000</v>
      </c>
      <c r="E16" s="84" t="s">
        <v>149</v>
      </c>
      <c r="F16" s="88">
        <f>VLOOKUP($B$36,PAYROLL!$A$3:$AF$78,23,0)</f>
        <v>0</v>
      </c>
      <c r="G16" s="4"/>
      <c r="H16" s="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78" t="s">
        <v>150</v>
      </c>
      <c r="D17" s="81">
        <f>VLOOKUP($B$36,PAYROLL!$A$3:$AF$78,15,0)</f>
        <v>0</v>
      </c>
      <c r="E17" s="84" t="s">
        <v>157</v>
      </c>
      <c r="F17" s="88">
        <f>VLOOKUP($B$36,PAYROLL!$A$3:$AF$78,24,0)</f>
        <v>0</v>
      </c>
      <c r="G17" s="4"/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78" t="s">
        <v>158</v>
      </c>
      <c r="D18" s="81">
        <f>VLOOKUP($B$36,PAYROLL!$A$3:$AF$78,16,0)</f>
        <v>0</v>
      </c>
      <c r="E18" s="121" t="s">
        <v>160</v>
      </c>
      <c r="F18" s="123" t="str">
        <f>VLOOKUP($B$36,PAYROLL!$A$3:$AF$78,25,0)</f>
        <v>N/A</v>
      </c>
      <c r="G18" s="4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/>
      <c r="C19" s="205" t="s">
        <v>166</v>
      </c>
      <c r="D19" s="207">
        <f>SUM(D16:D18)</f>
        <v>270000</v>
      </c>
      <c r="E19" s="209" t="s">
        <v>171</v>
      </c>
      <c r="F19" s="210">
        <f>SUM(F11:F18)</f>
        <v>0</v>
      </c>
      <c r="G19" s="4"/>
      <c r="H19" s="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206"/>
      <c r="D20" s="208"/>
      <c r="E20" s="208"/>
      <c r="F20" s="211"/>
      <c r="G20" s="4"/>
      <c r="H20" s="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190" t="s">
        <v>179</v>
      </c>
      <c r="D21" s="191"/>
      <c r="E21" s="191"/>
      <c r="F21" s="192"/>
      <c r="G21" s="4"/>
      <c r="H21" s="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193">
        <f>ROUND(D19-F19, 2)</f>
        <v>270000</v>
      </c>
      <c r="D22" s="191"/>
      <c r="E22" s="191"/>
      <c r="F22" s="192"/>
      <c r="G22" s="4"/>
      <c r="H22" s="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" customHeight="1">
      <c r="A23" s="4"/>
      <c r="B23" s="4"/>
      <c r="C23" s="194" t="e">
        <f ca="1">PROPER(MONEYTEXT(C22,"NGN"))</f>
        <v>#NAME?</v>
      </c>
      <c r="D23" s="191"/>
      <c r="E23" s="191"/>
      <c r="F23" s="192"/>
      <c r="G23" s="4"/>
      <c r="H23" s="8"/>
      <c r="I23" s="12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195"/>
      <c r="D24" s="191"/>
      <c r="E24" s="191"/>
      <c r="F24" s="192"/>
      <c r="G24" s="4"/>
      <c r="H24" s="8"/>
      <c r="I24" s="12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13"/>
      <c r="D25" s="4"/>
      <c r="E25" s="4"/>
      <c r="F25" s="18"/>
      <c r="G25" s="4"/>
      <c r="H25" s="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190" t="s">
        <v>193</v>
      </c>
      <c r="D26" s="191"/>
      <c r="E26" s="196" t="s">
        <v>194</v>
      </c>
      <c r="F26" s="192"/>
      <c r="G26" s="4"/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13"/>
      <c r="D27" s="4"/>
      <c r="E27" s="4"/>
      <c r="F27" s="18"/>
      <c r="G27" s="4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13"/>
      <c r="D28" s="128"/>
      <c r="E28" s="4"/>
      <c r="F28" s="18"/>
      <c r="G28" s="4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13"/>
      <c r="D29" s="4"/>
      <c r="E29" s="4"/>
      <c r="F29" s="18"/>
      <c r="G29" s="4"/>
      <c r="H29" s="8"/>
      <c r="I29" s="4"/>
      <c r="J29" s="12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197"/>
      <c r="D30" s="191"/>
      <c r="E30" s="198"/>
      <c r="F30" s="192"/>
      <c r="G30" s="4"/>
      <c r="H30" s="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13"/>
      <c r="D31" s="4"/>
      <c r="E31" s="4"/>
      <c r="F31" s="18"/>
      <c r="G31" s="4"/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199" t="s">
        <v>199</v>
      </c>
      <c r="D32" s="191"/>
      <c r="E32" s="191"/>
      <c r="F32" s="192"/>
      <c r="G32" s="4"/>
      <c r="H32" s="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130"/>
      <c r="D33" s="131"/>
      <c r="E33" s="131"/>
      <c r="F33" s="13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134">
        <f>PAYROLL!A1</f>
        <v>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30:D30"/>
    <mergeCell ref="E30:F30"/>
    <mergeCell ref="C32:F32"/>
    <mergeCell ref="C2:F2"/>
    <mergeCell ref="C4:C5"/>
    <mergeCell ref="D4:D5"/>
    <mergeCell ref="C19:C20"/>
    <mergeCell ref="D19:D20"/>
    <mergeCell ref="E19:E20"/>
    <mergeCell ref="F19:F20"/>
    <mergeCell ref="C21:F21"/>
    <mergeCell ref="C22:F22"/>
    <mergeCell ref="C23:F24"/>
    <mergeCell ref="C26:D26"/>
    <mergeCell ref="E26:F26"/>
  </mergeCells>
  <printOptions horizontalCentered="1"/>
  <pageMargins left="0.2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G1000"/>
  <sheetViews>
    <sheetView topLeftCell="A8" workbookViewId="0"/>
  </sheetViews>
  <sheetFormatPr defaultColWidth="12.5703125" defaultRowHeight="15" customHeight="1"/>
  <cols>
    <col min="1" max="1" width="2" customWidth="1"/>
    <col min="2" max="2" width="4.42578125" customWidth="1"/>
    <col min="3" max="3" width="27.42578125" customWidth="1"/>
    <col min="4" max="4" width="14.5703125" customWidth="1"/>
    <col min="5" max="5" width="19.42578125" customWidth="1"/>
    <col min="6" max="6" width="12.85546875" customWidth="1"/>
    <col min="7" max="7" width="11.7109375" customWidth="1"/>
    <col min="8" max="8" width="16.85546875" customWidth="1"/>
    <col min="9" max="9" width="16.42578125" customWidth="1"/>
    <col min="10" max="10" width="15.42578125" customWidth="1"/>
    <col min="11" max="11" width="11.85546875" customWidth="1"/>
    <col min="12" max="12" width="18.7109375" customWidth="1"/>
    <col min="13" max="13" width="10" customWidth="1"/>
    <col min="14" max="14" width="10.42578125" customWidth="1"/>
    <col min="15" max="15" width="13.28515625" customWidth="1"/>
    <col min="16" max="16" width="2.140625" customWidth="1"/>
    <col min="17" max="17" width="12.42578125" customWidth="1"/>
    <col min="18" max="18" width="13.42578125" customWidth="1"/>
    <col min="19" max="19" width="14" customWidth="1"/>
    <col min="20" max="28" width="12.5703125" customWidth="1"/>
    <col min="29" max="29" width="14.5703125" customWidth="1"/>
    <col min="30" max="31" width="23.42578125" customWidth="1"/>
    <col min="32" max="33" width="12.5703125" customWidth="1"/>
  </cols>
  <sheetData>
    <row r="1" spans="1:33" ht="13.5" customHeight="1">
      <c r="A1" s="1" t="s">
        <v>0</v>
      </c>
      <c r="B1" s="3"/>
      <c r="C1" s="3"/>
      <c r="D1" s="3"/>
      <c r="T1" s="6">
        <f>T7-U6</f>
        <v>1926112</v>
      </c>
      <c r="U1" s="6">
        <f>T1-300000</f>
        <v>1626112</v>
      </c>
      <c r="V1" s="6">
        <f t="shared" ref="V1:W1" si="0">U1-500000</f>
        <v>1126112</v>
      </c>
      <c r="W1" s="6">
        <f t="shared" si="0"/>
        <v>626112</v>
      </c>
      <c r="X1" s="6">
        <f>21%*W1</f>
        <v>131483.51999999999</v>
      </c>
      <c r="Y1" s="6"/>
    </row>
    <row r="2" spans="1:33" ht="9" customHeight="1">
      <c r="B2" s="3"/>
      <c r="C2" s="3"/>
      <c r="D2" s="3"/>
    </row>
    <row r="3" spans="1:33" ht="15.75" customHeight="1">
      <c r="B3" s="212" t="s">
        <v>4</v>
      </c>
      <c r="C3" s="213"/>
      <c r="D3" s="214"/>
      <c r="E3" s="11"/>
      <c r="F3" s="215" t="s">
        <v>7</v>
      </c>
      <c r="G3" s="213"/>
      <c r="H3" s="213"/>
      <c r="I3" s="213"/>
      <c r="J3" s="213"/>
      <c r="K3" s="216"/>
      <c r="L3" s="217" t="s">
        <v>20</v>
      </c>
      <c r="M3" s="213"/>
      <c r="N3" s="216"/>
      <c r="O3" s="25"/>
      <c r="P3" s="25"/>
      <c r="Q3" s="217" t="s">
        <v>25</v>
      </c>
      <c r="R3" s="213"/>
      <c r="S3" s="213"/>
      <c r="T3" s="216"/>
      <c r="U3" s="218" t="s">
        <v>26</v>
      </c>
      <c r="V3" s="219"/>
      <c r="W3" s="219"/>
      <c r="X3" s="219"/>
      <c r="Y3" s="219"/>
      <c r="Z3" s="219"/>
      <c r="AA3" s="28"/>
      <c r="AB3" s="28"/>
      <c r="AC3" s="29"/>
      <c r="AD3" s="30"/>
      <c r="AE3" s="31"/>
      <c r="AF3" s="3"/>
      <c r="AG3" s="3"/>
    </row>
    <row r="4" spans="1:33" ht="15.75" customHeight="1">
      <c r="B4" s="33"/>
      <c r="C4" s="37"/>
      <c r="D4" s="40"/>
      <c r="E4" s="11"/>
      <c r="F4" s="42">
        <v>0.3</v>
      </c>
      <c r="G4" s="45">
        <v>0.3</v>
      </c>
      <c r="H4" s="47">
        <v>0.2</v>
      </c>
      <c r="I4" s="42">
        <v>0.1</v>
      </c>
      <c r="J4" s="47">
        <v>0.1</v>
      </c>
      <c r="K4" s="40"/>
      <c r="L4" s="50">
        <v>0.08</v>
      </c>
      <c r="M4" s="52">
        <v>0.05</v>
      </c>
      <c r="N4" s="53">
        <v>2.5000000000000001E-2</v>
      </c>
      <c r="O4" s="40"/>
      <c r="P4" s="40"/>
      <c r="Q4" s="40"/>
      <c r="R4" s="37">
        <v>12</v>
      </c>
      <c r="S4" s="40"/>
      <c r="T4" s="37"/>
      <c r="U4" s="52">
        <v>7.0000000000000007E-2</v>
      </c>
      <c r="V4" s="52">
        <v>0.11</v>
      </c>
      <c r="W4" s="55">
        <v>0.15</v>
      </c>
      <c r="X4" s="52">
        <v>0.19</v>
      </c>
      <c r="Y4" s="52">
        <v>0.21</v>
      </c>
      <c r="Z4" s="52">
        <v>0.24</v>
      </c>
      <c r="AA4" s="57" t="s">
        <v>80</v>
      </c>
      <c r="AB4" s="57" t="s">
        <v>81</v>
      </c>
      <c r="AC4" s="26" t="s">
        <v>82</v>
      </c>
      <c r="AD4" s="59">
        <v>0.1</v>
      </c>
      <c r="AE4" s="60"/>
    </row>
    <row r="5" spans="1:33" ht="18.75" customHeight="1">
      <c r="B5" s="9"/>
      <c r="C5" s="61"/>
      <c r="D5" s="17"/>
      <c r="E5" s="63"/>
      <c r="F5" s="17"/>
      <c r="G5" s="64"/>
      <c r="H5" s="67"/>
      <c r="I5" s="68"/>
      <c r="J5" s="70"/>
      <c r="K5" s="72">
        <f>270000-L7</f>
        <v>252720</v>
      </c>
      <c r="L5" s="75">
        <f>K5*12</f>
        <v>3032640</v>
      </c>
      <c r="M5" s="67"/>
      <c r="N5" s="77"/>
      <c r="O5" s="80"/>
      <c r="P5" s="80"/>
      <c r="Q5" s="83">
        <f>1%*R7+20%*R7</f>
        <v>636854.4</v>
      </c>
      <c r="R5" s="75">
        <f>200000+20%*R7</f>
        <v>806528</v>
      </c>
      <c r="S5" s="25"/>
      <c r="T5" s="77"/>
      <c r="U5" s="87" t="s">
        <v>110</v>
      </c>
      <c r="V5" s="37" t="s">
        <v>111</v>
      </c>
      <c r="W5" s="89" t="s">
        <v>112</v>
      </c>
      <c r="X5" s="90" t="s">
        <v>111</v>
      </c>
      <c r="Y5" s="90" t="s">
        <v>113</v>
      </c>
      <c r="Z5" s="90" t="s">
        <v>113</v>
      </c>
      <c r="AA5" s="90"/>
      <c r="AB5" s="90"/>
      <c r="AC5" s="92"/>
      <c r="AD5" s="94"/>
      <c r="AE5" s="95"/>
    </row>
    <row r="6" spans="1:33" ht="27" customHeight="1">
      <c r="A6" s="96"/>
      <c r="B6" s="97" t="s">
        <v>29</v>
      </c>
      <c r="C6" s="98" t="s">
        <v>121</v>
      </c>
      <c r="D6" s="99" t="s">
        <v>122</v>
      </c>
      <c r="E6" s="100" t="s">
        <v>124</v>
      </c>
      <c r="F6" s="101" t="s">
        <v>42</v>
      </c>
      <c r="G6" s="102" t="s">
        <v>43</v>
      </c>
      <c r="H6" s="103" t="s">
        <v>44</v>
      </c>
      <c r="I6" s="104" t="s">
        <v>45</v>
      </c>
      <c r="J6" s="105" t="s">
        <v>46</v>
      </c>
      <c r="K6" s="103" t="s">
        <v>129</v>
      </c>
      <c r="L6" s="102" t="s">
        <v>130</v>
      </c>
      <c r="M6" s="103" t="s">
        <v>131</v>
      </c>
      <c r="N6" s="104" t="s">
        <v>132</v>
      </c>
      <c r="O6" s="106" t="s">
        <v>133</v>
      </c>
      <c r="P6" s="106"/>
      <c r="Q6" s="107" t="s">
        <v>134</v>
      </c>
      <c r="R6" s="102" t="s">
        <v>135</v>
      </c>
      <c r="S6" s="103" t="s">
        <v>136</v>
      </c>
      <c r="T6" s="104" t="s">
        <v>137</v>
      </c>
      <c r="U6" s="108">
        <v>300000</v>
      </c>
      <c r="V6" s="109">
        <v>300000</v>
      </c>
      <c r="W6" s="110">
        <v>500000</v>
      </c>
      <c r="X6" s="110">
        <v>500000</v>
      </c>
      <c r="Y6" s="110">
        <v>1600000</v>
      </c>
      <c r="Z6" s="110">
        <v>3200000</v>
      </c>
      <c r="AA6" s="111"/>
      <c r="AB6" s="111"/>
      <c r="AC6" s="112"/>
      <c r="AD6" s="114" t="s">
        <v>144</v>
      </c>
      <c r="AE6" s="115" t="s">
        <v>146</v>
      </c>
      <c r="AF6" s="96"/>
      <c r="AG6" s="96"/>
    </row>
    <row r="7" spans="1:33" ht="15.75" customHeight="1">
      <c r="A7" s="116"/>
      <c r="B7" s="117">
        <v>1</v>
      </c>
      <c r="C7" s="118" t="s">
        <v>73</v>
      </c>
      <c r="D7" s="118" t="s">
        <v>75</v>
      </c>
      <c r="E7" s="119">
        <v>270000</v>
      </c>
      <c r="F7" s="120">
        <f t="shared" ref="F7:F56" si="1">E7*$F$4</f>
        <v>81000</v>
      </c>
      <c r="G7" s="120">
        <f t="shared" ref="G7:G56" si="2">$G$4*E7</f>
        <v>81000</v>
      </c>
      <c r="H7" s="120">
        <f t="shared" ref="H7:H56" si="3">$H$4*E7</f>
        <v>54000</v>
      </c>
      <c r="I7" s="120">
        <f t="shared" ref="I7:I56" si="4">$I$4*E7</f>
        <v>27000</v>
      </c>
      <c r="J7" s="120">
        <f t="shared" ref="J7:J56" si="5">$J$4*E7</f>
        <v>27000</v>
      </c>
      <c r="K7" s="120">
        <f t="shared" ref="K7:K56" si="6">SUM(F7:J7)</f>
        <v>270000</v>
      </c>
      <c r="L7" s="120">
        <f t="shared" ref="L7:L56" si="7">$L$4*(F7+G7+H7)</f>
        <v>17280</v>
      </c>
      <c r="M7" s="120"/>
      <c r="N7" s="118"/>
      <c r="O7" s="122"/>
      <c r="P7" s="118"/>
      <c r="Q7" s="122"/>
      <c r="R7" s="124">
        <f t="shared" ref="R7:R56" si="8">$R$4*(K7-L7-M7-N7)</f>
        <v>3032640</v>
      </c>
      <c r="S7" s="120">
        <f t="shared" ref="S7:S56" si="9">IF(1%*R7&lt;200000,200000+(20%*R7),(1%*R7)+(20%*R7))</f>
        <v>806528</v>
      </c>
      <c r="T7" s="125">
        <f t="shared" ref="T7:T56" si="10">R7-S7</f>
        <v>2226112</v>
      </c>
      <c r="U7" s="126">
        <f t="shared" ref="U7:U56" si="11">IF(T7&lt;$U$6,1%*T7,IF(T7&gt;$U$6,$U$4*$U$6))</f>
        <v>21000.000000000004</v>
      </c>
      <c r="V7" s="120">
        <f t="shared" ref="V7:V56" si="12">IF(T7-300000&gt;+$V$6,$V$4*$V$6,IF(T7-300000&lt;0,"-",$V$4*(T7-300000)))</f>
        <v>33000</v>
      </c>
      <c r="W7" s="127">
        <f t="shared" ref="W7:W56" si="13">IF(T7-600000&gt;=$W$6,$W$4*$W$6,IF(T7-600000&lt;0,"-",$W$4*(T7-600000)))</f>
        <v>75000</v>
      </c>
      <c r="X7" s="127">
        <f t="shared" ref="X7:X56" si="14">IF(T7-1100000&gt;=$X$6,$X$4*$X$6,IF(T7-1100000&lt;0,"-",$X$4*(T7-1100000)))</f>
        <v>95000</v>
      </c>
      <c r="Y7" s="127">
        <f t="shared" ref="Y7:Y56" si="15">IF(T7-1600000&gt;=$Y$6,$Y$4*$Y$6,IF(T7-1600000&lt;0,"-",$Y$4*(T7-1600000)))</f>
        <v>131483.51999999999</v>
      </c>
      <c r="Z7" s="127" t="str">
        <f t="shared" ref="Z7:Z56" si="16">IF(T7-3200000&gt;0,$Z$4*(T7-3200000),"-")</f>
        <v>-</v>
      </c>
      <c r="AA7" s="127">
        <f t="shared" ref="AA7:AA56" si="17">SUM(U7:Z7)</f>
        <v>355483.52</v>
      </c>
      <c r="AB7" s="127">
        <f t="shared" ref="AB7:AB56" si="18">AA7/12</f>
        <v>29623.626666666667</v>
      </c>
      <c r="AC7" s="129">
        <f t="shared" ref="AC7:AC56" si="19">K7-L7-M7-N7-AB7</f>
        <v>223096.37333333332</v>
      </c>
      <c r="AD7" s="120">
        <f t="shared" ref="AD7:AD56" si="20">(F7+G7+H7)*$AD$4</f>
        <v>21600</v>
      </c>
      <c r="AE7" s="132">
        <v>1475</v>
      </c>
      <c r="AF7" s="116"/>
      <c r="AG7" s="116"/>
    </row>
    <row r="8" spans="1:33" ht="15.75" customHeight="1">
      <c r="A8" s="116"/>
      <c r="B8" s="117">
        <f t="shared" ref="B8:B56" si="21">IF(C8="","",B7+1)</f>
        <v>2</v>
      </c>
      <c r="C8" s="118" t="s">
        <v>125</v>
      </c>
      <c r="D8" s="118" t="s">
        <v>127</v>
      </c>
      <c r="E8" s="120">
        <v>330000</v>
      </c>
      <c r="F8" s="120">
        <f t="shared" si="1"/>
        <v>99000</v>
      </c>
      <c r="G8" s="120">
        <f t="shared" si="2"/>
        <v>99000</v>
      </c>
      <c r="H8" s="120">
        <f t="shared" si="3"/>
        <v>66000</v>
      </c>
      <c r="I8" s="120">
        <f t="shared" si="4"/>
        <v>33000</v>
      </c>
      <c r="J8" s="120">
        <f t="shared" si="5"/>
        <v>33000</v>
      </c>
      <c r="K8" s="120">
        <f t="shared" si="6"/>
        <v>330000</v>
      </c>
      <c r="L8" s="120">
        <f t="shared" si="7"/>
        <v>21120</v>
      </c>
      <c r="M8" s="120"/>
      <c r="N8" s="118"/>
      <c r="O8" s="122"/>
      <c r="P8" s="118"/>
      <c r="Q8" s="122"/>
      <c r="R8" s="124">
        <f t="shared" si="8"/>
        <v>3706560</v>
      </c>
      <c r="S8" s="120">
        <f t="shared" si="9"/>
        <v>941312</v>
      </c>
      <c r="T8" s="125">
        <f t="shared" si="10"/>
        <v>2765248</v>
      </c>
      <c r="U8" s="126">
        <f t="shared" si="11"/>
        <v>21000.000000000004</v>
      </c>
      <c r="V8" s="120">
        <f t="shared" si="12"/>
        <v>33000</v>
      </c>
      <c r="W8" s="127">
        <f t="shared" si="13"/>
        <v>75000</v>
      </c>
      <c r="X8" s="127">
        <f t="shared" si="14"/>
        <v>95000</v>
      </c>
      <c r="Y8" s="127">
        <f t="shared" si="15"/>
        <v>244702.07999999999</v>
      </c>
      <c r="Z8" s="127" t="str">
        <f t="shared" si="16"/>
        <v>-</v>
      </c>
      <c r="AA8" s="127">
        <f t="shared" si="17"/>
        <v>468702.07999999996</v>
      </c>
      <c r="AB8" s="127">
        <f t="shared" si="18"/>
        <v>39058.506666666661</v>
      </c>
      <c r="AC8" s="129">
        <f t="shared" si="19"/>
        <v>269821.49333333335</v>
      </c>
      <c r="AD8" s="120">
        <f t="shared" si="20"/>
        <v>26400</v>
      </c>
      <c r="AE8" s="132">
        <f>(AC8-82500)*10%</f>
        <v>18732.149333333335</v>
      </c>
      <c r="AF8" s="116"/>
    </row>
    <row r="9" spans="1:33" ht="15.75" customHeight="1">
      <c r="A9" s="116"/>
      <c r="B9" s="117">
        <f t="shared" si="21"/>
        <v>3</v>
      </c>
      <c r="C9" s="118" t="s">
        <v>145</v>
      </c>
      <c r="D9" s="118" t="s">
        <v>148</v>
      </c>
      <c r="E9" s="120">
        <v>500000</v>
      </c>
      <c r="F9" s="120">
        <f t="shared" si="1"/>
        <v>150000</v>
      </c>
      <c r="G9" s="120">
        <f t="shared" si="2"/>
        <v>150000</v>
      </c>
      <c r="H9" s="120">
        <f t="shared" si="3"/>
        <v>100000</v>
      </c>
      <c r="I9" s="120">
        <f t="shared" si="4"/>
        <v>50000</v>
      </c>
      <c r="J9" s="120">
        <f t="shared" si="5"/>
        <v>50000</v>
      </c>
      <c r="K9" s="120">
        <f t="shared" si="6"/>
        <v>500000</v>
      </c>
      <c r="L9" s="120">
        <f t="shared" si="7"/>
        <v>32000</v>
      </c>
      <c r="M9" s="120"/>
      <c r="N9" s="118"/>
      <c r="O9" s="122"/>
      <c r="P9" s="118"/>
      <c r="Q9" s="122"/>
      <c r="R9" s="124">
        <f t="shared" si="8"/>
        <v>5616000</v>
      </c>
      <c r="S9" s="120">
        <f t="shared" si="9"/>
        <v>1323200</v>
      </c>
      <c r="T9" s="125">
        <f t="shared" si="10"/>
        <v>4292800</v>
      </c>
      <c r="U9" s="126">
        <f t="shared" si="11"/>
        <v>21000.000000000004</v>
      </c>
      <c r="V9" s="120">
        <f t="shared" si="12"/>
        <v>33000</v>
      </c>
      <c r="W9" s="127">
        <f t="shared" si="13"/>
        <v>75000</v>
      </c>
      <c r="X9" s="127">
        <f t="shared" si="14"/>
        <v>95000</v>
      </c>
      <c r="Y9" s="127">
        <f t="shared" si="15"/>
        <v>336000</v>
      </c>
      <c r="Z9" s="127">
        <f t="shared" si="16"/>
        <v>262272</v>
      </c>
      <c r="AA9" s="127">
        <f t="shared" si="17"/>
        <v>822272</v>
      </c>
      <c r="AB9" s="127">
        <f t="shared" si="18"/>
        <v>68522.666666666672</v>
      </c>
      <c r="AC9" s="129">
        <f t="shared" si="19"/>
        <v>399477.33333333331</v>
      </c>
      <c r="AD9" s="135">
        <f t="shared" si="20"/>
        <v>40000</v>
      </c>
      <c r="AE9" s="132">
        <v>3493</v>
      </c>
      <c r="AF9" s="116"/>
    </row>
    <row r="10" spans="1:33" ht="15.75" customHeight="1">
      <c r="A10" s="116"/>
      <c r="B10" s="117">
        <f t="shared" si="21"/>
        <v>4</v>
      </c>
      <c r="C10" s="118" t="s">
        <v>154</v>
      </c>
      <c r="D10" s="118" t="s">
        <v>156</v>
      </c>
      <c r="E10" s="120">
        <v>500000</v>
      </c>
      <c r="F10" s="120">
        <f t="shared" si="1"/>
        <v>150000</v>
      </c>
      <c r="G10" s="120">
        <f t="shared" si="2"/>
        <v>150000</v>
      </c>
      <c r="H10" s="120">
        <f t="shared" si="3"/>
        <v>100000</v>
      </c>
      <c r="I10" s="120">
        <f t="shared" si="4"/>
        <v>50000</v>
      </c>
      <c r="J10" s="120">
        <f t="shared" si="5"/>
        <v>50000</v>
      </c>
      <c r="K10" s="120">
        <f t="shared" si="6"/>
        <v>500000</v>
      </c>
      <c r="L10" s="120">
        <f t="shared" si="7"/>
        <v>32000</v>
      </c>
      <c r="M10" s="120"/>
      <c r="N10" s="118"/>
      <c r="O10" s="122"/>
      <c r="P10" s="118"/>
      <c r="Q10" s="122"/>
      <c r="R10" s="124">
        <f t="shared" si="8"/>
        <v>5616000</v>
      </c>
      <c r="S10" s="120">
        <f t="shared" si="9"/>
        <v>1323200</v>
      </c>
      <c r="T10" s="125">
        <f t="shared" si="10"/>
        <v>4292800</v>
      </c>
      <c r="U10" s="126">
        <f t="shared" si="11"/>
        <v>21000.000000000004</v>
      </c>
      <c r="V10" s="120">
        <f t="shared" si="12"/>
        <v>33000</v>
      </c>
      <c r="W10" s="127">
        <f t="shared" si="13"/>
        <v>75000</v>
      </c>
      <c r="X10" s="127">
        <f t="shared" si="14"/>
        <v>95000</v>
      </c>
      <c r="Y10" s="127">
        <f t="shared" si="15"/>
        <v>336000</v>
      </c>
      <c r="Z10" s="127">
        <f t="shared" si="16"/>
        <v>262272</v>
      </c>
      <c r="AA10" s="127">
        <f t="shared" si="17"/>
        <v>822272</v>
      </c>
      <c r="AB10" s="127">
        <f t="shared" si="18"/>
        <v>68522.666666666672</v>
      </c>
      <c r="AC10" s="129">
        <f t="shared" si="19"/>
        <v>399477.33333333331</v>
      </c>
      <c r="AD10" s="135">
        <f t="shared" si="20"/>
        <v>40000</v>
      </c>
      <c r="AE10" s="132">
        <v>3493</v>
      </c>
      <c r="AF10" s="116"/>
    </row>
    <row r="11" spans="1:33" ht="15.75" customHeight="1">
      <c r="A11" s="116"/>
      <c r="B11" s="117">
        <f t="shared" si="21"/>
        <v>5</v>
      </c>
      <c r="C11" s="118" t="s">
        <v>162</v>
      </c>
      <c r="D11" s="118" t="s">
        <v>164</v>
      </c>
      <c r="E11" s="120">
        <v>500000</v>
      </c>
      <c r="F11" s="120">
        <f t="shared" si="1"/>
        <v>150000</v>
      </c>
      <c r="G11" s="120">
        <f t="shared" si="2"/>
        <v>150000</v>
      </c>
      <c r="H11" s="120">
        <f t="shared" si="3"/>
        <v>100000</v>
      </c>
      <c r="I11" s="120">
        <f t="shared" si="4"/>
        <v>50000</v>
      </c>
      <c r="J11" s="120">
        <f t="shared" si="5"/>
        <v>50000</v>
      </c>
      <c r="K11" s="120">
        <f t="shared" si="6"/>
        <v>500000</v>
      </c>
      <c r="L11" s="120">
        <f t="shared" si="7"/>
        <v>32000</v>
      </c>
      <c r="M11" s="120"/>
      <c r="N11" s="118"/>
      <c r="O11" s="122"/>
      <c r="P11" s="118"/>
      <c r="Q11" s="122"/>
      <c r="R11" s="124">
        <f t="shared" si="8"/>
        <v>5616000</v>
      </c>
      <c r="S11" s="120">
        <f t="shared" si="9"/>
        <v>1323200</v>
      </c>
      <c r="T11" s="125">
        <f t="shared" si="10"/>
        <v>4292800</v>
      </c>
      <c r="U11" s="126">
        <f t="shared" si="11"/>
        <v>21000.000000000004</v>
      </c>
      <c r="V11" s="120">
        <f t="shared" si="12"/>
        <v>33000</v>
      </c>
      <c r="W11" s="127">
        <f t="shared" si="13"/>
        <v>75000</v>
      </c>
      <c r="X11" s="127">
        <f t="shared" si="14"/>
        <v>95000</v>
      </c>
      <c r="Y11" s="127">
        <f t="shared" si="15"/>
        <v>336000</v>
      </c>
      <c r="Z11" s="127">
        <f t="shared" si="16"/>
        <v>262272</v>
      </c>
      <c r="AA11" s="127">
        <f t="shared" si="17"/>
        <v>822272</v>
      </c>
      <c r="AB11" s="127">
        <f t="shared" si="18"/>
        <v>68522.666666666672</v>
      </c>
      <c r="AC11" s="129">
        <f t="shared" si="19"/>
        <v>399477.33333333331</v>
      </c>
      <c r="AD11" s="135">
        <f t="shared" si="20"/>
        <v>40000</v>
      </c>
      <c r="AE11" s="132">
        <v>3493</v>
      </c>
      <c r="AF11" s="116"/>
    </row>
    <row r="12" spans="1:33" ht="15.75" customHeight="1">
      <c r="A12" s="116"/>
      <c r="B12" s="117">
        <f t="shared" si="21"/>
        <v>6</v>
      </c>
      <c r="C12" s="118" t="s">
        <v>168</v>
      </c>
      <c r="D12" s="118" t="s">
        <v>170</v>
      </c>
      <c r="E12" s="120">
        <v>500000</v>
      </c>
      <c r="F12" s="120">
        <f t="shared" si="1"/>
        <v>150000</v>
      </c>
      <c r="G12" s="120">
        <f t="shared" si="2"/>
        <v>150000</v>
      </c>
      <c r="H12" s="120">
        <f t="shared" si="3"/>
        <v>100000</v>
      </c>
      <c r="I12" s="120">
        <f t="shared" si="4"/>
        <v>50000</v>
      </c>
      <c r="J12" s="120">
        <f t="shared" si="5"/>
        <v>50000</v>
      </c>
      <c r="K12" s="120">
        <f t="shared" si="6"/>
        <v>500000</v>
      </c>
      <c r="L12" s="120">
        <f t="shared" si="7"/>
        <v>32000</v>
      </c>
      <c r="M12" s="120"/>
      <c r="N12" s="118"/>
      <c r="O12" s="122"/>
      <c r="P12" s="118"/>
      <c r="Q12" s="122"/>
      <c r="R12" s="124">
        <f t="shared" si="8"/>
        <v>5616000</v>
      </c>
      <c r="S12" s="120">
        <f t="shared" si="9"/>
        <v>1323200</v>
      </c>
      <c r="T12" s="125">
        <f t="shared" si="10"/>
        <v>4292800</v>
      </c>
      <c r="U12" s="126">
        <f t="shared" si="11"/>
        <v>21000.000000000004</v>
      </c>
      <c r="V12" s="120">
        <f t="shared" si="12"/>
        <v>33000</v>
      </c>
      <c r="W12" s="127">
        <f t="shared" si="13"/>
        <v>75000</v>
      </c>
      <c r="X12" s="127">
        <f t="shared" si="14"/>
        <v>95000</v>
      </c>
      <c r="Y12" s="127">
        <f t="shared" si="15"/>
        <v>336000</v>
      </c>
      <c r="Z12" s="127">
        <f t="shared" si="16"/>
        <v>262272</v>
      </c>
      <c r="AA12" s="127">
        <f t="shared" si="17"/>
        <v>822272</v>
      </c>
      <c r="AB12" s="127">
        <f t="shared" si="18"/>
        <v>68522.666666666672</v>
      </c>
      <c r="AC12" s="129">
        <f t="shared" si="19"/>
        <v>399477.33333333331</v>
      </c>
      <c r="AD12" s="135">
        <f t="shared" si="20"/>
        <v>40000</v>
      </c>
      <c r="AE12" s="132">
        <v>3493</v>
      </c>
      <c r="AF12" s="116"/>
    </row>
    <row r="13" spans="1:33" ht="15.75" customHeight="1">
      <c r="A13" s="116"/>
      <c r="B13" s="117">
        <f t="shared" si="21"/>
        <v>7</v>
      </c>
      <c r="C13" s="118" t="s">
        <v>174</v>
      </c>
      <c r="D13" s="118" t="s">
        <v>176</v>
      </c>
      <c r="E13" s="120">
        <v>500000</v>
      </c>
      <c r="F13" s="120">
        <f t="shared" si="1"/>
        <v>150000</v>
      </c>
      <c r="G13" s="120">
        <f t="shared" si="2"/>
        <v>150000</v>
      </c>
      <c r="H13" s="120">
        <f t="shared" si="3"/>
        <v>100000</v>
      </c>
      <c r="I13" s="120">
        <f t="shared" si="4"/>
        <v>50000</v>
      </c>
      <c r="J13" s="120">
        <f t="shared" si="5"/>
        <v>50000</v>
      </c>
      <c r="K13" s="120">
        <f t="shared" si="6"/>
        <v>500000</v>
      </c>
      <c r="L13" s="120">
        <f t="shared" si="7"/>
        <v>32000</v>
      </c>
      <c r="M13" s="120"/>
      <c r="N13" s="118"/>
      <c r="O13" s="122"/>
      <c r="P13" s="118"/>
      <c r="Q13" s="122"/>
      <c r="R13" s="124">
        <f t="shared" si="8"/>
        <v>5616000</v>
      </c>
      <c r="S13" s="120">
        <f t="shared" si="9"/>
        <v>1323200</v>
      </c>
      <c r="T13" s="125">
        <f t="shared" si="10"/>
        <v>4292800</v>
      </c>
      <c r="U13" s="126">
        <f t="shared" si="11"/>
        <v>21000.000000000004</v>
      </c>
      <c r="V13" s="120">
        <f t="shared" si="12"/>
        <v>33000</v>
      </c>
      <c r="W13" s="127">
        <f t="shared" si="13"/>
        <v>75000</v>
      </c>
      <c r="X13" s="127">
        <f t="shared" si="14"/>
        <v>95000</v>
      </c>
      <c r="Y13" s="127">
        <f t="shared" si="15"/>
        <v>336000</v>
      </c>
      <c r="Z13" s="127">
        <f t="shared" si="16"/>
        <v>262272</v>
      </c>
      <c r="AA13" s="127">
        <f t="shared" si="17"/>
        <v>822272</v>
      </c>
      <c r="AB13" s="127">
        <f t="shared" si="18"/>
        <v>68522.666666666672</v>
      </c>
      <c r="AC13" s="129">
        <f t="shared" si="19"/>
        <v>399477.33333333331</v>
      </c>
      <c r="AD13" s="135">
        <f t="shared" si="20"/>
        <v>40000</v>
      </c>
      <c r="AE13" s="132">
        <v>3493</v>
      </c>
      <c r="AF13" s="116"/>
    </row>
    <row r="14" spans="1:33" ht="15.75" customHeight="1">
      <c r="A14" s="116"/>
      <c r="B14" s="117">
        <f t="shared" si="21"/>
        <v>8</v>
      </c>
      <c r="C14" s="118" t="s">
        <v>181</v>
      </c>
      <c r="D14" s="118" t="s">
        <v>183</v>
      </c>
      <c r="E14" s="120">
        <v>500000</v>
      </c>
      <c r="F14" s="120">
        <f t="shared" si="1"/>
        <v>150000</v>
      </c>
      <c r="G14" s="120">
        <f t="shared" si="2"/>
        <v>150000</v>
      </c>
      <c r="H14" s="120">
        <f t="shared" si="3"/>
        <v>100000</v>
      </c>
      <c r="I14" s="120">
        <f t="shared" si="4"/>
        <v>50000</v>
      </c>
      <c r="J14" s="120">
        <f t="shared" si="5"/>
        <v>50000</v>
      </c>
      <c r="K14" s="120">
        <f t="shared" si="6"/>
        <v>500000</v>
      </c>
      <c r="L14" s="120">
        <f t="shared" si="7"/>
        <v>32000</v>
      </c>
      <c r="M14" s="120"/>
      <c r="N14" s="118"/>
      <c r="O14" s="122"/>
      <c r="P14" s="118"/>
      <c r="Q14" s="122"/>
      <c r="R14" s="124">
        <f t="shared" si="8"/>
        <v>5616000</v>
      </c>
      <c r="S14" s="120">
        <f t="shared" si="9"/>
        <v>1323200</v>
      </c>
      <c r="T14" s="125">
        <f t="shared" si="10"/>
        <v>4292800</v>
      </c>
      <c r="U14" s="126">
        <f t="shared" si="11"/>
        <v>21000.000000000004</v>
      </c>
      <c r="V14" s="120">
        <f t="shared" si="12"/>
        <v>33000</v>
      </c>
      <c r="W14" s="127">
        <f t="shared" si="13"/>
        <v>75000</v>
      </c>
      <c r="X14" s="127">
        <f t="shared" si="14"/>
        <v>95000</v>
      </c>
      <c r="Y14" s="127">
        <f t="shared" si="15"/>
        <v>336000</v>
      </c>
      <c r="Z14" s="127">
        <f t="shared" si="16"/>
        <v>262272</v>
      </c>
      <c r="AA14" s="127">
        <f t="shared" si="17"/>
        <v>822272</v>
      </c>
      <c r="AB14" s="127">
        <f t="shared" si="18"/>
        <v>68522.666666666672</v>
      </c>
      <c r="AC14" s="129">
        <f t="shared" si="19"/>
        <v>399477.33333333331</v>
      </c>
      <c r="AD14" s="135">
        <f t="shared" si="20"/>
        <v>40000</v>
      </c>
      <c r="AE14" s="132">
        <v>3493</v>
      </c>
      <c r="AF14" s="116"/>
    </row>
    <row r="15" spans="1:33" ht="15.75" customHeight="1">
      <c r="A15" s="116"/>
      <c r="B15" s="117">
        <f t="shared" si="21"/>
        <v>9</v>
      </c>
      <c r="C15" s="118" t="s">
        <v>186</v>
      </c>
      <c r="D15" s="118" t="s">
        <v>188</v>
      </c>
      <c r="E15" s="120">
        <v>500000</v>
      </c>
      <c r="F15" s="120">
        <f t="shared" si="1"/>
        <v>150000</v>
      </c>
      <c r="G15" s="120">
        <f t="shared" si="2"/>
        <v>150000</v>
      </c>
      <c r="H15" s="120">
        <f t="shared" si="3"/>
        <v>100000</v>
      </c>
      <c r="I15" s="120">
        <f t="shared" si="4"/>
        <v>50000</v>
      </c>
      <c r="J15" s="120">
        <f t="shared" si="5"/>
        <v>50000</v>
      </c>
      <c r="K15" s="120">
        <f t="shared" si="6"/>
        <v>500000</v>
      </c>
      <c r="L15" s="120">
        <f t="shared" si="7"/>
        <v>32000</v>
      </c>
      <c r="M15" s="120"/>
      <c r="N15" s="118"/>
      <c r="O15" s="122"/>
      <c r="P15" s="118"/>
      <c r="Q15" s="122"/>
      <c r="R15" s="124">
        <f t="shared" si="8"/>
        <v>5616000</v>
      </c>
      <c r="S15" s="120">
        <f t="shared" si="9"/>
        <v>1323200</v>
      </c>
      <c r="T15" s="125">
        <f t="shared" si="10"/>
        <v>4292800</v>
      </c>
      <c r="U15" s="126">
        <f t="shared" si="11"/>
        <v>21000.000000000004</v>
      </c>
      <c r="V15" s="120">
        <f t="shared" si="12"/>
        <v>33000</v>
      </c>
      <c r="W15" s="127">
        <f t="shared" si="13"/>
        <v>75000</v>
      </c>
      <c r="X15" s="127">
        <f t="shared" si="14"/>
        <v>95000</v>
      </c>
      <c r="Y15" s="127">
        <f t="shared" si="15"/>
        <v>336000</v>
      </c>
      <c r="Z15" s="127">
        <f t="shared" si="16"/>
        <v>262272</v>
      </c>
      <c r="AA15" s="127">
        <f t="shared" si="17"/>
        <v>822272</v>
      </c>
      <c r="AB15" s="127">
        <f t="shared" si="18"/>
        <v>68522.666666666672</v>
      </c>
      <c r="AC15" s="129">
        <f t="shared" si="19"/>
        <v>399477.33333333331</v>
      </c>
      <c r="AD15" s="135">
        <f t="shared" si="20"/>
        <v>40000</v>
      </c>
      <c r="AE15" s="132">
        <v>3493</v>
      </c>
      <c r="AF15" s="116"/>
    </row>
    <row r="16" spans="1:33" ht="15.75" customHeight="1">
      <c r="A16" s="116"/>
      <c r="B16" s="117">
        <f t="shared" si="21"/>
        <v>10</v>
      </c>
      <c r="C16" s="118" t="s">
        <v>190</v>
      </c>
      <c r="D16" s="118" t="s">
        <v>192</v>
      </c>
      <c r="E16" s="120">
        <v>500000</v>
      </c>
      <c r="F16" s="120">
        <f t="shared" si="1"/>
        <v>150000</v>
      </c>
      <c r="G16" s="120">
        <f t="shared" si="2"/>
        <v>150000</v>
      </c>
      <c r="H16" s="120">
        <f t="shared" si="3"/>
        <v>100000</v>
      </c>
      <c r="I16" s="120">
        <f t="shared" si="4"/>
        <v>50000</v>
      </c>
      <c r="J16" s="120">
        <f t="shared" si="5"/>
        <v>50000</v>
      </c>
      <c r="K16" s="120">
        <f t="shared" si="6"/>
        <v>500000</v>
      </c>
      <c r="L16" s="120">
        <f t="shared" si="7"/>
        <v>32000</v>
      </c>
      <c r="M16" s="120"/>
      <c r="N16" s="118"/>
      <c r="O16" s="122"/>
      <c r="P16" s="118"/>
      <c r="Q16" s="122"/>
      <c r="R16" s="124">
        <f t="shared" si="8"/>
        <v>5616000</v>
      </c>
      <c r="S16" s="120">
        <f t="shared" si="9"/>
        <v>1323200</v>
      </c>
      <c r="T16" s="125">
        <f t="shared" si="10"/>
        <v>4292800</v>
      </c>
      <c r="U16" s="126">
        <f t="shared" si="11"/>
        <v>21000.000000000004</v>
      </c>
      <c r="V16" s="120">
        <f t="shared" si="12"/>
        <v>33000</v>
      </c>
      <c r="W16" s="127">
        <f t="shared" si="13"/>
        <v>75000</v>
      </c>
      <c r="X16" s="127">
        <f t="shared" si="14"/>
        <v>95000</v>
      </c>
      <c r="Y16" s="127">
        <f t="shared" si="15"/>
        <v>336000</v>
      </c>
      <c r="Z16" s="127">
        <f t="shared" si="16"/>
        <v>262272</v>
      </c>
      <c r="AA16" s="127">
        <f t="shared" si="17"/>
        <v>822272</v>
      </c>
      <c r="AB16" s="127">
        <f t="shared" si="18"/>
        <v>68522.666666666672</v>
      </c>
      <c r="AC16" s="129">
        <f t="shared" si="19"/>
        <v>399477.33333333331</v>
      </c>
      <c r="AD16" s="135">
        <f t="shared" si="20"/>
        <v>40000</v>
      </c>
      <c r="AE16" s="132">
        <v>3493</v>
      </c>
      <c r="AF16" s="116"/>
    </row>
    <row r="17" spans="1:32" ht="15.75" customHeight="1">
      <c r="A17" s="116"/>
      <c r="B17" s="117">
        <f t="shared" si="21"/>
        <v>11</v>
      </c>
      <c r="C17" s="118" t="s">
        <v>196</v>
      </c>
      <c r="D17" s="118" t="s">
        <v>198</v>
      </c>
      <c r="E17" s="120">
        <v>500000</v>
      </c>
      <c r="F17" s="120">
        <f t="shared" si="1"/>
        <v>150000</v>
      </c>
      <c r="G17" s="120">
        <f t="shared" si="2"/>
        <v>150000</v>
      </c>
      <c r="H17" s="120">
        <f t="shared" si="3"/>
        <v>100000</v>
      </c>
      <c r="I17" s="120">
        <f t="shared" si="4"/>
        <v>50000</v>
      </c>
      <c r="J17" s="120">
        <f t="shared" si="5"/>
        <v>50000</v>
      </c>
      <c r="K17" s="120">
        <f t="shared" si="6"/>
        <v>500000</v>
      </c>
      <c r="L17" s="120">
        <f t="shared" si="7"/>
        <v>32000</v>
      </c>
      <c r="M17" s="120"/>
      <c r="N17" s="118"/>
      <c r="O17" s="122"/>
      <c r="P17" s="118"/>
      <c r="Q17" s="122"/>
      <c r="R17" s="124">
        <f t="shared" si="8"/>
        <v>5616000</v>
      </c>
      <c r="S17" s="120">
        <f t="shared" si="9"/>
        <v>1323200</v>
      </c>
      <c r="T17" s="125">
        <f t="shared" si="10"/>
        <v>4292800</v>
      </c>
      <c r="U17" s="126">
        <f t="shared" si="11"/>
        <v>21000.000000000004</v>
      </c>
      <c r="V17" s="120">
        <f t="shared" si="12"/>
        <v>33000</v>
      </c>
      <c r="W17" s="127">
        <f t="shared" si="13"/>
        <v>75000</v>
      </c>
      <c r="X17" s="127">
        <f t="shared" si="14"/>
        <v>95000</v>
      </c>
      <c r="Y17" s="127">
        <f t="shared" si="15"/>
        <v>336000</v>
      </c>
      <c r="Z17" s="127">
        <f t="shared" si="16"/>
        <v>262272</v>
      </c>
      <c r="AA17" s="127">
        <f t="shared" si="17"/>
        <v>822272</v>
      </c>
      <c r="AB17" s="127">
        <f t="shared" si="18"/>
        <v>68522.666666666672</v>
      </c>
      <c r="AC17" s="129">
        <f t="shared" si="19"/>
        <v>399477.33333333331</v>
      </c>
      <c r="AD17" s="135">
        <f t="shared" si="20"/>
        <v>40000</v>
      </c>
      <c r="AE17" s="132">
        <v>3493</v>
      </c>
      <c r="AF17" s="116"/>
    </row>
    <row r="18" spans="1:32" ht="15.75" customHeight="1">
      <c r="A18" s="116"/>
      <c r="B18" s="117">
        <f t="shared" si="21"/>
        <v>12</v>
      </c>
      <c r="C18" s="118" t="s">
        <v>201</v>
      </c>
      <c r="D18" s="118" t="s">
        <v>203</v>
      </c>
      <c r="E18" s="120">
        <v>500000</v>
      </c>
      <c r="F18" s="120">
        <f t="shared" si="1"/>
        <v>150000</v>
      </c>
      <c r="G18" s="120">
        <f t="shared" si="2"/>
        <v>150000</v>
      </c>
      <c r="H18" s="120">
        <f t="shared" si="3"/>
        <v>100000</v>
      </c>
      <c r="I18" s="120">
        <f t="shared" si="4"/>
        <v>50000</v>
      </c>
      <c r="J18" s="120">
        <f t="shared" si="5"/>
        <v>50000</v>
      </c>
      <c r="K18" s="120">
        <f t="shared" si="6"/>
        <v>500000</v>
      </c>
      <c r="L18" s="120">
        <f t="shared" si="7"/>
        <v>32000</v>
      </c>
      <c r="M18" s="120"/>
      <c r="N18" s="118"/>
      <c r="O18" s="122"/>
      <c r="P18" s="118"/>
      <c r="Q18" s="122"/>
      <c r="R18" s="124">
        <f t="shared" si="8"/>
        <v>5616000</v>
      </c>
      <c r="S18" s="120">
        <f t="shared" si="9"/>
        <v>1323200</v>
      </c>
      <c r="T18" s="125">
        <f t="shared" si="10"/>
        <v>4292800</v>
      </c>
      <c r="U18" s="126">
        <f t="shared" si="11"/>
        <v>21000.000000000004</v>
      </c>
      <c r="V18" s="120">
        <f t="shared" si="12"/>
        <v>33000</v>
      </c>
      <c r="W18" s="127">
        <f t="shared" si="13"/>
        <v>75000</v>
      </c>
      <c r="X18" s="127">
        <f t="shared" si="14"/>
        <v>95000</v>
      </c>
      <c r="Y18" s="127">
        <f t="shared" si="15"/>
        <v>336000</v>
      </c>
      <c r="Z18" s="127">
        <f t="shared" si="16"/>
        <v>262272</v>
      </c>
      <c r="AA18" s="127">
        <f t="shared" si="17"/>
        <v>822272</v>
      </c>
      <c r="AB18" s="127">
        <f t="shared" si="18"/>
        <v>68522.666666666672</v>
      </c>
      <c r="AC18" s="129">
        <f t="shared" si="19"/>
        <v>399477.33333333331</v>
      </c>
      <c r="AD18" s="135">
        <f t="shared" si="20"/>
        <v>40000</v>
      </c>
      <c r="AE18" s="132">
        <v>3493</v>
      </c>
      <c r="AF18" s="116"/>
    </row>
    <row r="19" spans="1:32" ht="15.75" customHeight="1">
      <c r="A19" s="116"/>
      <c r="B19" s="117">
        <f t="shared" si="21"/>
        <v>13</v>
      </c>
      <c r="C19" s="118" t="s">
        <v>205</v>
      </c>
      <c r="D19" s="118" t="s">
        <v>206</v>
      </c>
      <c r="E19" s="120">
        <v>500000</v>
      </c>
      <c r="F19" s="120">
        <f t="shared" si="1"/>
        <v>150000</v>
      </c>
      <c r="G19" s="120">
        <f t="shared" si="2"/>
        <v>150000</v>
      </c>
      <c r="H19" s="120">
        <f t="shared" si="3"/>
        <v>100000</v>
      </c>
      <c r="I19" s="120">
        <f t="shared" si="4"/>
        <v>50000</v>
      </c>
      <c r="J19" s="120">
        <f t="shared" si="5"/>
        <v>50000</v>
      </c>
      <c r="K19" s="120">
        <f t="shared" si="6"/>
        <v>500000</v>
      </c>
      <c r="L19" s="120">
        <f t="shared" si="7"/>
        <v>32000</v>
      </c>
      <c r="M19" s="120"/>
      <c r="N19" s="118"/>
      <c r="O19" s="122"/>
      <c r="P19" s="118"/>
      <c r="Q19" s="122"/>
      <c r="R19" s="124">
        <f t="shared" si="8"/>
        <v>5616000</v>
      </c>
      <c r="S19" s="120">
        <f t="shared" si="9"/>
        <v>1323200</v>
      </c>
      <c r="T19" s="125">
        <f t="shared" si="10"/>
        <v>4292800</v>
      </c>
      <c r="U19" s="126">
        <f t="shared" si="11"/>
        <v>21000.000000000004</v>
      </c>
      <c r="V19" s="120">
        <f t="shared" si="12"/>
        <v>33000</v>
      </c>
      <c r="W19" s="127">
        <f t="shared" si="13"/>
        <v>75000</v>
      </c>
      <c r="X19" s="127">
        <f t="shared" si="14"/>
        <v>95000</v>
      </c>
      <c r="Y19" s="127">
        <f t="shared" si="15"/>
        <v>336000</v>
      </c>
      <c r="Z19" s="127">
        <f t="shared" si="16"/>
        <v>262272</v>
      </c>
      <c r="AA19" s="127">
        <f t="shared" si="17"/>
        <v>822272</v>
      </c>
      <c r="AB19" s="127">
        <f t="shared" si="18"/>
        <v>68522.666666666672</v>
      </c>
      <c r="AC19" s="129">
        <f t="shared" si="19"/>
        <v>399477.33333333331</v>
      </c>
      <c r="AD19" s="135">
        <f t="shared" si="20"/>
        <v>40000</v>
      </c>
      <c r="AE19" s="132">
        <v>3493</v>
      </c>
      <c r="AF19" s="116"/>
    </row>
    <row r="20" spans="1:32" ht="15.75" customHeight="1">
      <c r="A20" s="116"/>
      <c r="B20" s="117">
        <f t="shared" si="21"/>
        <v>14</v>
      </c>
      <c r="C20" s="118" t="s">
        <v>208</v>
      </c>
      <c r="D20" s="118" t="s">
        <v>210</v>
      </c>
      <c r="E20" s="120">
        <v>500000</v>
      </c>
      <c r="F20" s="120">
        <f t="shared" si="1"/>
        <v>150000</v>
      </c>
      <c r="G20" s="120">
        <f t="shared" si="2"/>
        <v>150000</v>
      </c>
      <c r="H20" s="120">
        <f t="shared" si="3"/>
        <v>100000</v>
      </c>
      <c r="I20" s="120">
        <f t="shared" si="4"/>
        <v>50000</v>
      </c>
      <c r="J20" s="120">
        <f t="shared" si="5"/>
        <v>50000</v>
      </c>
      <c r="K20" s="120">
        <f t="shared" si="6"/>
        <v>500000</v>
      </c>
      <c r="L20" s="120">
        <f t="shared" si="7"/>
        <v>32000</v>
      </c>
      <c r="M20" s="120"/>
      <c r="N20" s="118"/>
      <c r="O20" s="122"/>
      <c r="P20" s="118"/>
      <c r="Q20" s="122"/>
      <c r="R20" s="124">
        <f t="shared" si="8"/>
        <v>5616000</v>
      </c>
      <c r="S20" s="120">
        <f t="shared" si="9"/>
        <v>1323200</v>
      </c>
      <c r="T20" s="125">
        <f t="shared" si="10"/>
        <v>4292800</v>
      </c>
      <c r="U20" s="126">
        <f t="shared" si="11"/>
        <v>21000.000000000004</v>
      </c>
      <c r="V20" s="120">
        <f t="shared" si="12"/>
        <v>33000</v>
      </c>
      <c r="W20" s="127">
        <f t="shared" si="13"/>
        <v>75000</v>
      </c>
      <c r="X20" s="127">
        <f t="shared" si="14"/>
        <v>95000</v>
      </c>
      <c r="Y20" s="127">
        <f t="shared" si="15"/>
        <v>336000</v>
      </c>
      <c r="Z20" s="127">
        <f t="shared" si="16"/>
        <v>262272</v>
      </c>
      <c r="AA20" s="127">
        <f t="shared" si="17"/>
        <v>822272</v>
      </c>
      <c r="AB20" s="127">
        <f t="shared" si="18"/>
        <v>68522.666666666672</v>
      </c>
      <c r="AC20" s="129">
        <f t="shared" si="19"/>
        <v>399477.33333333331</v>
      </c>
      <c r="AD20" s="135">
        <f t="shared" si="20"/>
        <v>40000</v>
      </c>
      <c r="AE20" s="132">
        <v>3493</v>
      </c>
      <c r="AF20" s="116"/>
    </row>
    <row r="21" spans="1:32" ht="15.75" customHeight="1">
      <c r="A21" s="116"/>
      <c r="B21" s="117">
        <f t="shared" si="21"/>
        <v>15</v>
      </c>
      <c r="C21" s="118" t="s">
        <v>213</v>
      </c>
      <c r="D21" s="118" t="s">
        <v>215</v>
      </c>
      <c r="E21" s="120">
        <v>500000</v>
      </c>
      <c r="F21" s="120">
        <f t="shared" si="1"/>
        <v>150000</v>
      </c>
      <c r="G21" s="120">
        <f t="shared" si="2"/>
        <v>150000</v>
      </c>
      <c r="H21" s="120">
        <f t="shared" si="3"/>
        <v>100000</v>
      </c>
      <c r="I21" s="120">
        <f t="shared" si="4"/>
        <v>50000</v>
      </c>
      <c r="J21" s="120">
        <f t="shared" si="5"/>
        <v>50000</v>
      </c>
      <c r="K21" s="120">
        <f t="shared" si="6"/>
        <v>500000</v>
      </c>
      <c r="L21" s="120">
        <f t="shared" si="7"/>
        <v>32000</v>
      </c>
      <c r="M21" s="120"/>
      <c r="N21" s="118"/>
      <c r="O21" s="122"/>
      <c r="P21" s="118"/>
      <c r="Q21" s="122"/>
      <c r="R21" s="124">
        <f t="shared" si="8"/>
        <v>5616000</v>
      </c>
      <c r="S21" s="120">
        <f t="shared" si="9"/>
        <v>1323200</v>
      </c>
      <c r="T21" s="125">
        <f t="shared" si="10"/>
        <v>4292800</v>
      </c>
      <c r="U21" s="126">
        <f t="shared" si="11"/>
        <v>21000.000000000004</v>
      </c>
      <c r="V21" s="120">
        <f t="shared" si="12"/>
        <v>33000</v>
      </c>
      <c r="W21" s="127">
        <f t="shared" si="13"/>
        <v>75000</v>
      </c>
      <c r="X21" s="127">
        <f t="shared" si="14"/>
        <v>95000</v>
      </c>
      <c r="Y21" s="127">
        <f t="shared" si="15"/>
        <v>336000</v>
      </c>
      <c r="Z21" s="127">
        <f t="shared" si="16"/>
        <v>262272</v>
      </c>
      <c r="AA21" s="127">
        <f t="shared" si="17"/>
        <v>822272</v>
      </c>
      <c r="AB21" s="127">
        <f t="shared" si="18"/>
        <v>68522.666666666672</v>
      </c>
      <c r="AC21" s="129">
        <f t="shared" si="19"/>
        <v>399477.33333333331</v>
      </c>
      <c r="AD21" s="135">
        <f t="shared" si="20"/>
        <v>40000</v>
      </c>
      <c r="AE21" s="132">
        <v>3493</v>
      </c>
      <c r="AF21" s="116"/>
    </row>
    <row r="22" spans="1:32" ht="15.75" customHeight="1">
      <c r="A22" s="116"/>
      <c r="B22" s="117">
        <f t="shared" si="21"/>
        <v>16</v>
      </c>
      <c r="C22" s="118" t="s">
        <v>218</v>
      </c>
      <c r="D22" s="118" t="s">
        <v>220</v>
      </c>
      <c r="E22" s="120">
        <v>500000</v>
      </c>
      <c r="F22" s="120">
        <f t="shared" si="1"/>
        <v>150000</v>
      </c>
      <c r="G22" s="120">
        <f t="shared" si="2"/>
        <v>150000</v>
      </c>
      <c r="H22" s="120">
        <f t="shared" si="3"/>
        <v>100000</v>
      </c>
      <c r="I22" s="120">
        <f t="shared" si="4"/>
        <v>50000</v>
      </c>
      <c r="J22" s="120">
        <f t="shared" si="5"/>
        <v>50000</v>
      </c>
      <c r="K22" s="120">
        <f t="shared" si="6"/>
        <v>500000</v>
      </c>
      <c r="L22" s="120">
        <f t="shared" si="7"/>
        <v>32000</v>
      </c>
      <c r="M22" s="120"/>
      <c r="N22" s="118"/>
      <c r="O22" s="122"/>
      <c r="P22" s="118"/>
      <c r="Q22" s="122"/>
      <c r="R22" s="124">
        <f t="shared" si="8"/>
        <v>5616000</v>
      </c>
      <c r="S22" s="120">
        <f t="shared" si="9"/>
        <v>1323200</v>
      </c>
      <c r="T22" s="125">
        <f t="shared" si="10"/>
        <v>4292800</v>
      </c>
      <c r="U22" s="126">
        <f t="shared" si="11"/>
        <v>21000.000000000004</v>
      </c>
      <c r="V22" s="120">
        <f t="shared" si="12"/>
        <v>33000</v>
      </c>
      <c r="W22" s="127">
        <f t="shared" si="13"/>
        <v>75000</v>
      </c>
      <c r="X22" s="127">
        <f t="shared" si="14"/>
        <v>95000</v>
      </c>
      <c r="Y22" s="127">
        <f t="shared" si="15"/>
        <v>336000</v>
      </c>
      <c r="Z22" s="127">
        <f t="shared" si="16"/>
        <v>262272</v>
      </c>
      <c r="AA22" s="127">
        <f t="shared" si="17"/>
        <v>822272</v>
      </c>
      <c r="AB22" s="127">
        <f t="shared" si="18"/>
        <v>68522.666666666672</v>
      </c>
      <c r="AC22" s="129">
        <f t="shared" si="19"/>
        <v>399477.33333333331</v>
      </c>
      <c r="AD22" s="135">
        <f t="shared" si="20"/>
        <v>40000</v>
      </c>
      <c r="AE22" s="132">
        <v>3493</v>
      </c>
      <c r="AF22" s="116"/>
    </row>
    <row r="23" spans="1:32" ht="15.75" customHeight="1">
      <c r="A23" s="116"/>
      <c r="B23" s="117">
        <f t="shared" si="21"/>
        <v>17</v>
      </c>
      <c r="C23" s="118" t="s">
        <v>222</v>
      </c>
      <c r="D23" s="118" t="s">
        <v>224</v>
      </c>
      <c r="E23" s="120">
        <v>500000</v>
      </c>
      <c r="F23" s="120">
        <f t="shared" si="1"/>
        <v>150000</v>
      </c>
      <c r="G23" s="120">
        <f t="shared" si="2"/>
        <v>150000</v>
      </c>
      <c r="H23" s="120">
        <f t="shared" si="3"/>
        <v>100000</v>
      </c>
      <c r="I23" s="120">
        <f t="shared" si="4"/>
        <v>50000</v>
      </c>
      <c r="J23" s="120">
        <f t="shared" si="5"/>
        <v>50000</v>
      </c>
      <c r="K23" s="120">
        <f t="shared" si="6"/>
        <v>500000</v>
      </c>
      <c r="L23" s="120">
        <f t="shared" si="7"/>
        <v>32000</v>
      </c>
      <c r="M23" s="120"/>
      <c r="N23" s="118"/>
      <c r="O23" s="122"/>
      <c r="P23" s="118"/>
      <c r="Q23" s="122"/>
      <c r="R23" s="124">
        <f t="shared" si="8"/>
        <v>5616000</v>
      </c>
      <c r="S23" s="120">
        <f t="shared" si="9"/>
        <v>1323200</v>
      </c>
      <c r="T23" s="125">
        <f t="shared" si="10"/>
        <v>4292800</v>
      </c>
      <c r="U23" s="126">
        <f t="shared" si="11"/>
        <v>21000.000000000004</v>
      </c>
      <c r="V23" s="120">
        <f t="shared" si="12"/>
        <v>33000</v>
      </c>
      <c r="W23" s="127">
        <f t="shared" si="13"/>
        <v>75000</v>
      </c>
      <c r="X23" s="127">
        <f t="shared" si="14"/>
        <v>95000</v>
      </c>
      <c r="Y23" s="127">
        <f t="shared" si="15"/>
        <v>336000</v>
      </c>
      <c r="Z23" s="127">
        <f t="shared" si="16"/>
        <v>262272</v>
      </c>
      <c r="AA23" s="127">
        <f t="shared" si="17"/>
        <v>822272</v>
      </c>
      <c r="AB23" s="127">
        <f t="shared" si="18"/>
        <v>68522.666666666672</v>
      </c>
      <c r="AC23" s="129">
        <f t="shared" si="19"/>
        <v>399477.33333333331</v>
      </c>
      <c r="AD23" s="135">
        <f t="shared" si="20"/>
        <v>40000</v>
      </c>
      <c r="AE23" s="132">
        <v>3493</v>
      </c>
      <c r="AF23" s="116"/>
    </row>
    <row r="24" spans="1:32" ht="15.75" customHeight="1">
      <c r="A24" s="116"/>
      <c r="B24" s="117">
        <f t="shared" si="21"/>
        <v>18</v>
      </c>
      <c r="C24" s="118" t="s">
        <v>226</v>
      </c>
      <c r="D24" s="118" t="s">
        <v>228</v>
      </c>
      <c r="E24" s="120">
        <v>500000</v>
      </c>
      <c r="F24" s="120">
        <f t="shared" si="1"/>
        <v>150000</v>
      </c>
      <c r="G24" s="120">
        <f t="shared" si="2"/>
        <v>150000</v>
      </c>
      <c r="H24" s="120">
        <f t="shared" si="3"/>
        <v>100000</v>
      </c>
      <c r="I24" s="120">
        <f t="shared" si="4"/>
        <v>50000</v>
      </c>
      <c r="J24" s="120">
        <f t="shared" si="5"/>
        <v>50000</v>
      </c>
      <c r="K24" s="120">
        <f t="shared" si="6"/>
        <v>500000</v>
      </c>
      <c r="L24" s="120">
        <f t="shared" si="7"/>
        <v>32000</v>
      </c>
      <c r="M24" s="120"/>
      <c r="N24" s="118"/>
      <c r="O24" s="122"/>
      <c r="P24" s="118"/>
      <c r="Q24" s="122"/>
      <c r="R24" s="124">
        <f t="shared" si="8"/>
        <v>5616000</v>
      </c>
      <c r="S24" s="120">
        <f t="shared" si="9"/>
        <v>1323200</v>
      </c>
      <c r="T24" s="125">
        <f t="shared" si="10"/>
        <v>4292800</v>
      </c>
      <c r="U24" s="126">
        <f t="shared" si="11"/>
        <v>21000.000000000004</v>
      </c>
      <c r="V24" s="120">
        <f t="shared" si="12"/>
        <v>33000</v>
      </c>
      <c r="W24" s="127">
        <f t="shared" si="13"/>
        <v>75000</v>
      </c>
      <c r="X24" s="127">
        <f t="shared" si="14"/>
        <v>95000</v>
      </c>
      <c r="Y24" s="127">
        <f t="shared" si="15"/>
        <v>336000</v>
      </c>
      <c r="Z24" s="127">
        <f t="shared" si="16"/>
        <v>262272</v>
      </c>
      <c r="AA24" s="127">
        <f t="shared" si="17"/>
        <v>822272</v>
      </c>
      <c r="AB24" s="127">
        <f t="shared" si="18"/>
        <v>68522.666666666672</v>
      </c>
      <c r="AC24" s="129">
        <f t="shared" si="19"/>
        <v>399477.33333333331</v>
      </c>
      <c r="AD24" s="135">
        <f t="shared" si="20"/>
        <v>40000</v>
      </c>
      <c r="AE24" s="132">
        <v>3493</v>
      </c>
      <c r="AF24" s="116"/>
    </row>
    <row r="25" spans="1:32" ht="15.75" customHeight="1">
      <c r="A25" s="116"/>
      <c r="B25" s="117">
        <f t="shared" si="21"/>
        <v>19</v>
      </c>
      <c r="C25" s="118" t="s">
        <v>231</v>
      </c>
      <c r="D25" s="118" t="s">
        <v>233</v>
      </c>
      <c r="E25" s="120">
        <v>500000</v>
      </c>
      <c r="F25" s="120">
        <f t="shared" si="1"/>
        <v>150000</v>
      </c>
      <c r="G25" s="120">
        <f t="shared" si="2"/>
        <v>150000</v>
      </c>
      <c r="H25" s="120">
        <f t="shared" si="3"/>
        <v>100000</v>
      </c>
      <c r="I25" s="120">
        <f t="shared" si="4"/>
        <v>50000</v>
      </c>
      <c r="J25" s="120">
        <f t="shared" si="5"/>
        <v>50000</v>
      </c>
      <c r="K25" s="120">
        <f t="shared" si="6"/>
        <v>500000</v>
      </c>
      <c r="L25" s="120">
        <f t="shared" si="7"/>
        <v>32000</v>
      </c>
      <c r="M25" s="120"/>
      <c r="N25" s="118"/>
      <c r="O25" s="122"/>
      <c r="P25" s="118"/>
      <c r="Q25" s="122"/>
      <c r="R25" s="124">
        <f t="shared" si="8"/>
        <v>5616000</v>
      </c>
      <c r="S25" s="120">
        <f t="shared" si="9"/>
        <v>1323200</v>
      </c>
      <c r="T25" s="125">
        <f t="shared" si="10"/>
        <v>4292800</v>
      </c>
      <c r="U25" s="126">
        <f t="shared" si="11"/>
        <v>21000.000000000004</v>
      </c>
      <c r="V25" s="120">
        <f t="shared" si="12"/>
        <v>33000</v>
      </c>
      <c r="W25" s="127">
        <f t="shared" si="13"/>
        <v>75000</v>
      </c>
      <c r="X25" s="127">
        <f t="shared" si="14"/>
        <v>95000</v>
      </c>
      <c r="Y25" s="127">
        <f t="shared" si="15"/>
        <v>336000</v>
      </c>
      <c r="Z25" s="127">
        <f t="shared" si="16"/>
        <v>262272</v>
      </c>
      <c r="AA25" s="127">
        <f t="shared" si="17"/>
        <v>822272</v>
      </c>
      <c r="AB25" s="127">
        <f t="shared" si="18"/>
        <v>68522.666666666672</v>
      </c>
      <c r="AC25" s="129">
        <f t="shared" si="19"/>
        <v>399477.33333333331</v>
      </c>
      <c r="AD25" s="135">
        <f t="shared" si="20"/>
        <v>40000</v>
      </c>
      <c r="AE25" s="132">
        <v>3493</v>
      </c>
      <c r="AF25" s="116"/>
    </row>
    <row r="26" spans="1:32" ht="15.75" customHeight="1">
      <c r="A26" s="116"/>
      <c r="B26" s="117">
        <f t="shared" si="21"/>
        <v>20</v>
      </c>
      <c r="C26" s="118" t="s">
        <v>236</v>
      </c>
      <c r="D26" s="118" t="s">
        <v>238</v>
      </c>
      <c r="E26" s="120">
        <v>500000</v>
      </c>
      <c r="F26" s="120">
        <f t="shared" si="1"/>
        <v>150000</v>
      </c>
      <c r="G26" s="120">
        <f t="shared" si="2"/>
        <v>150000</v>
      </c>
      <c r="H26" s="120">
        <f t="shared" si="3"/>
        <v>100000</v>
      </c>
      <c r="I26" s="120">
        <f t="shared" si="4"/>
        <v>50000</v>
      </c>
      <c r="J26" s="120">
        <f t="shared" si="5"/>
        <v>50000</v>
      </c>
      <c r="K26" s="120">
        <f t="shared" si="6"/>
        <v>500000</v>
      </c>
      <c r="L26" s="120">
        <f t="shared" si="7"/>
        <v>32000</v>
      </c>
      <c r="M26" s="120"/>
      <c r="N26" s="118"/>
      <c r="O26" s="122"/>
      <c r="P26" s="118"/>
      <c r="Q26" s="122"/>
      <c r="R26" s="124">
        <f t="shared" si="8"/>
        <v>5616000</v>
      </c>
      <c r="S26" s="120">
        <f t="shared" si="9"/>
        <v>1323200</v>
      </c>
      <c r="T26" s="125">
        <f t="shared" si="10"/>
        <v>4292800</v>
      </c>
      <c r="U26" s="126">
        <f t="shared" si="11"/>
        <v>21000.000000000004</v>
      </c>
      <c r="V26" s="120">
        <f t="shared" si="12"/>
        <v>33000</v>
      </c>
      <c r="W26" s="127">
        <f t="shared" si="13"/>
        <v>75000</v>
      </c>
      <c r="X26" s="127">
        <f t="shared" si="14"/>
        <v>95000</v>
      </c>
      <c r="Y26" s="127">
        <f t="shared" si="15"/>
        <v>336000</v>
      </c>
      <c r="Z26" s="127">
        <f t="shared" si="16"/>
        <v>262272</v>
      </c>
      <c r="AA26" s="127">
        <f t="shared" si="17"/>
        <v>822272</v>
      </c>
      <c r="AB26" s="127">
        <f t="shared" si="18"/>
        <v>68522.666666666672</v>
      </c>
      <c r="AC26" s="129">
        <f t="shared" si="19"/>
        <v>399477.33333333331</v>
      </c>
      <c r="AD26" s="135">
        <f t="shared" si="20"/>
        <v>40000</v>
      </c>
      <c r="AE26" s="132">
        <v>3493</v>
      </c>
      <c r="AF26" s="116"/>
    </row>
    <row r="27" spans="1:32" ht="15.75" customHeight="1">
      <c r="A27" s="116"/>
      <c r="B27" s="117">
        <f t="shared" si="21"/>
        <v>21</v>
      </c>
      <c r="C27" s="118" t="s">
        <v>241</v>
      </c>
      <c r="D27" s="118" t="s">
        <v>243</v>
      </c>
      <c r="E27" s="120">
        <v>500000</v>
      </c>
      <c r="F27" s="120">
        <f t="shared" si="1"/>
        <v>150000</v>
      </c>
      <c r="G27" s="120">
        <f t="shared" si="2"/>
        <v>150000</v>
      </c>
      <c r="H27" s="120">
        <f t="shared" si="3"/>
        <v>100000</v>
      </c>
      <c r="I27" s="120">
        <f t="shared" si="4"/>
        <v>50000</v>
      </c>
      <c r="J27" s="120">
        <f t="shared" si="5"/>
        <v>50000</v>
      </c>
      <c r="K27" s="120">
        <f t="shared" si="6"/>
        <v>500000</v>
      </c>
      <c r="L27" s="120">
        <f t="shared" si="7"/>
        <v>32000</v>
      </c>
      <c r="M27" s="120"/>
      <c r="N27" s="118"/>
      <c r="O27" s="122"/>
      <c r="P27" s="118"/>
      <c r="Q27" s="122"/>
      <c r="R27" s="124">
        <f t="shared" si="8"/>
        <v>5616000</v>
      </c>
      <c r="S27" s="120">
        <f t="shared" si="9"/>
        <v>1323200</v>
      </c>
      <c r="T27" s="125">
        <f t="shared" si="10"/>
        <v>4292800</v>
      </c>
      <c r="U27" s="126">
        <f t="shared" si="11"/>
        <v>21000.000000000004</v>
      </c>
      <c r="V27" s="120">
        <f t="shared" si="12"/>
        <v>33000</v>
      </c>
      <c r="W27" s="127">
        <f t="shared" si="13"/>
        <v>75000</v>
      </c>
      <c r="X27" s="127">
        <f t="shared" si="14"/>
        <v>95000</v>
      </c>
      <c r="Y27" s="127">
        <f t="shared" si="15"/>
        <v>336000</v>
      </c>
      <c r="Z27" s="127">
        <f t="shared" si="16"/>
        <v>262272</v>
      </c>
      <c r="AA27" s="127">
        <f t="shared" si="17"/>
        <v>822272</v>
      </c>
      <c r="AB27" s="127">
        <f t="shared" si="18"/>
        <v>68522.666666666672</v>
      </c>
      <c r="AC27" s="129">
        <f t="shared" si="19"/>
        <v>399477.33333333331</v>
      </c>
      <c r="AD27" s="135">
        <f t="shared" si="20"/>
        <v>40000</v>
      </c>
      <c r="AE27" s="132">
        <v>3493</v>
      </c>
      <c r="AF27" s="116"/>
    </row>
    <row r="28" spans="1:32" ht="15.75" customHeight="1">
      <c r="A28" s="116"/>
      <c r="B28" s="117">
        <f t="shared" si="21"/>
        <v>22</v>
      </c>
      <c r="C28" s="118" t="s">
        <v>246</v>
      </c>
      <c r="D28" s="118" t="s">
        <v>248</v>
      </c>
      <c r="E28" s="120">
        <v>500000</v>
      </c>
      <c r="F28" s="120">
        <f t="shared" si="1"/>
        <v>150000</v>
      </c>
      <c r="G28" s="120">
        <f t="shared" si="2"/>
        <v>150000</v>
      </c>
      <c r="H28" s="120">
        <f t="shared" si="3"/>
        <v>100000</v>
      </c>
      <c r="I28" s="120">
        <f t="shared" si="4"/>
        <v>50000</v>
      </c>
      <c r="J28" s="120">
        <f t="shared" si="5"/>
        <v>50000</v>
      </c>
      <c r="K28" s="120">
        <f t="shared" si="6"/>
        <v>500000</v>
      </c>
      <c r="L28" s="120">
        <f t="shared" si="7"/>
        <v>32000</v>
      </c>
      <c r="M28" s="120"/>
      <c r="N28" s="118"/>
      <c r="O28" s="122"/>
      <c r="P28" s="118"/>
      <c r="Q28" s="122"/>
      <c r="R28" s="124">
        <f t="shared" si="8"/>
        <v>5616000</v>
      </c>
      <c r="S28" s="120">
        <f t="shared" si="9"/>
        <v>1323200</v>
      </c>
      <c r="T28" s="125">
        <f t="shared" si="10"/>
        <v>4292800</v>
      </c>
      <c r="U28" s="126">
        <f t="shared" si="11"/>
        <v>21000.000000000004</v>
      </c>
      <c r="V28" s="120">
        <f t="shared" si="12"/>
        <v>33000</v>
      </c>
      <c r="W28" s="127">
        <f t="shared" si="13"/>
        <v>75000</v>
      </c>
      <c r="X28" s="127">
        <f t="shared" si="14"/>
        <v>95000</v>
      </c>
      <c r="Y28" s="127">
        <f t="shared" si="15"/>
        <v>336000</v>
      </c>
      <c r="Z28" s="127">
        <f t="shared" si="16"/>
        <v>262272</v>
      </c>
      <c r="AA28" s="127">
        <f t="shared" si="17"/>
        <v>822272</v>
      </c>
      <c r="AB28" s="127">
        <f t="shared" si="18"/>
        <v>68522.666666666672</v>
      </c>
      <c r="AC28" s="129">
        <f t="shared" si="19"/>
        <v>399477.33333333331</v>
      </c>
      <c r="AD28" s="135">
        <f t="shared" si="20"/>
        <v>40000</v>
      </c>
      <c r="AE28" s="132">
        <v>3493</v>
      </c>
      <c r="AF28" s="116"/>
    </row>
    <row r="29" spans="1:32" ht="15.75" customHeight="1">
      <c r="A29" s="116"/>
      <c r="B29" s="117">
        <f t="shared" si="21"/>
        <v>23</v>
      </c>
      <c r="C29" s="118" t="s">
        <v>251</v>
      </c>
      <c r="D29" s="118" t="s">
        <v>253</v>
      </c>
      <c r="E29" s="120">
        <v>500000</v>
      </c>
      <c r="F29" s="120">
        <f t="shared" si="1"/>
        <v>150000</v>
      </c>
      <c r="G29" s="120">
        <f t="shared" si="2"/>
        <v>150000</v>
      </c>
      <c r="H29" s="120">
        <f t="shared" si="3"/>
        <v>100000</v>
      </c>
      <c r="I29" s="120">
        <f t="shared" si="4"/>
        <v>50000</v>
      </c>
      <c r="J29" s="120">
        <f t="shared" si="5"/>
        <v>50000</v>
      </c>
      <c r="K29" s="120">
        <f t="shared" si="6"/>
        <v>500000</v>
      </c>
      <c r="L29" s="120">
        <f t="shared" si="7"/>
        <v>32000</v>
      </c>
      <c r="M29" s="120"/>
      <c r="N29" s="118"/>
      <c r="O29" s="122"/>
      <c r="P29" s="118"/>
      <c r="Q29" s="122"/>
      <c r="R29" s="124">
        <f t="shared" si="8"/>
        <v>5616000</v>
      </c>
      <c r="S29" s="120">
        <f t="shared" si="9"/>
        <v>1323200</v>
      </c>
      <c r="T29" s="125">
        <f t="shared" si="10"/>
        <v>4292800</v>
      </c>
      <c r="U29" s="126">
        <f t="shared" si="11"/>
        <v>21000.000000000004</v>
      </c>
      <c r="V29" s="120">
        <f t="shared" si="12"/>
        <v>33000</v>
      </c>
      <c r="W29" s="127">
        <f t="shared" si="13"/>
        <v>75000</v>
      </c>
      <c r="X29" s="127">
        <f t="shared" si="14"/>
        <v>95000</v>
      </c>
      <c r="Y29" s="127">
        <f t="shared" si="15"/>
        <v>336000</v>
      </c>
      <c r="Z29" s="127">
        <f t="shared" si="16"/>
        <v>262272</v>
      </c>
      <c r="AA29" s="127">
        <f t="shared" si="17"/>
        <v>822272</v>
      </c>
      <c r="AB29" s="127">
        <f t="shared" si="18"/>
        <v>68522.666666666672</v>
      </c>
      <c r="AC29" s="129">
        <f t="shared" si="19"/>
        <v>399477.33333333331</v>
      </c>
      <c r="AD29" s="135">
        <f t="shared" si="20"/>
        <v>40000</v>
      </c>
      <c r="AE29" s="132">
        <v>3493</v>
      </c>
      <c r="AF29" s="116"/>
    </row>
    <row r="30" spans="1:32" ht="15.75" customHeight="1">
      <c r="A30" s="116"/>
      <c r="B30" s="117">
        <f t="shared" si="21"/>
        <v>24</v>
      </c>
      <c r="C30" s="118" t="s">
        <v>256</v>
      </c>
      <c r="D30" s="118" t="s">
        <v>257</v>
      </c>
      <c r="E30" s="120">
        <v>500000</v>
      </c>
      <c r="F30" s="120">
        <f t="shared" si="1"/>
        <v>150000</v>
      </c>
      <c r="G30" s="120">
        <f t="shared" si="2"/>
        <v>150000</v>
      </c>
      <c r="H30" s="120">
        <f t="shared" si="3"/>
        <v>100000</v>
      </c>
      <c r="I30" s="120">
        <f t="shared" si="4"/>
        <v>50000</v>
      </c>
      <c r="J30" s="120">
        <f t="shared" si="5"/>
        <v>50000</v>
      </c>
      <c r="K30" s="120">
        <f t="shared" si="6"/>
        <v>500000</v>
      </c>
      <c r="L30" s="120">
        <f t="shared" si="7"/>
        <v>32000</v>
      </c>
      <c r="M30" s="120"/>
      <c r="N30" s="118"/>
      <c r="O30" s="122"/>
      <c r="P30" s="118"/>
      <c r="Q30" s="122"/>
      <c r="R30" s="124">
        <f t="shared" si="8"/>
        <v>5616000</v>
      </c>
      <c r="S30" s="120">
        <f t="shared" si="9"/>
        <v>1323200</v>
      </c>
      <c r="T30" s="125">
        <f t="shared" si="10"/>
        <v>4292800</v>
      </c>
      <c r="U30" s="126">
        <f t="shared" si="11"/>
        <v>21000.000000000004</v>
      </c>
      <c r="V30" s="120">
        <f t="shared" si="12"/>
        <v>33000</v>
      </c>
      <c r="W30" s="127">
        <f t="shared" si="13"/>
        <v>75000</v>
      </c>
      <c r="X30" s="127">
        <f t="shared" si="14"/>
        <v>95000</v>
      </c>
      <c r="Y30" s="127">
        <f t="shared" si="15"/>
        <v>336000</v>
      </c>
      <c r="Z30" s="127">
        <f t="shared" si="16"/>
        <v>262272</v>
      </c>
      <c r="AA30" s="127">
        <f t="shared" si="17"/>
        <v>822272</v>
      </c>
      <c r="AB30" s="127">
        <f t="shared" si="18"/>
        <v>68522.666666666672</v>
      </c>
      <c r="AC30" s="129">
        <f t="shared" si="19"/>
        <v>399477.33333333331</v>
      </c>
      <c r="AD30" s="135">
        <f t="shared" si="20"/>
        <v>40000</v>
      </c>
      <c r="AE30" s="132">
        <v>3493</v>
      </c>
      <c r="AF30" s="116"/>
    </row>
    <row r="31" spans="1:32" ht="15.75" customHeight="1">
      <c r="A31" s="116"/>
      <c r="B31" s="117">
        <f t="shared" si="21"/>
        <v>25</v>
      </c>
      <c r="C31" s="118" t="s">
        <v>262</v>
      </c>
      <c r="D31" s="118" t="s">
        <v>264</v>
      </c>
      <c r="E31" s="120">
        <v>500000</v>
      </c>
      <c r="F31" s="120">
        <f t="shared" si="1"/>
        <v>150000</v>
      </c>
      <c r="G31" s="120">
        <f t="shared" si="2"/>
        <v>150000</v>
      </c>
      <c r="H31" s="120">
        <f t="shared" si="3"/>
        <v>100000</v>
      </c>
      <c r="I31" s="120">
        <f t="shared" si="4"/>
        <v>50000</v>
      </c>
      <c r="J31" s="120">
        <f t="shared" si="5"/>
        <v>50000</v>
      </c>
      <c r="K31" s="120">
        <f t="shared" si="6"/>
        <v>500000</v>
      </c>
      <c r="L31" s="120">
        <f t="shared" si="7"/>
        <v>32000</v>
      </c>
      <c r="M31" s="120"/>
      <c r="N31" s="118"/>
      <c r="O31" s="122"/>
      <c r="P31" s="118"/>
      <c r="Q31" s="122"/>
      <c r="R31" s="124">
        <f t="shared" si="8"/>
        <v>5616000</v>
      </c>
      <c r="S31" s="120">
        <f t="shared" si="9"/>
        <v>1323200</v>
      </c>
      <c r="T31" s="125">
        <f t="shared" si="10"/>
        <v>4292800</v>
      </c>
      <c r="U31" s="126">
        <f t="shared" si="11"/>
        <v>21000.000000000004</v>
      </c>
      <c r="V31" s="120">
        <f t="shared" si="12"/>
        <v>33000</v>
      </c>
      <c r="W31" s="127">
        <f t="shared" si="13"/>
        <v>75000</v>
      </c>
      <c r="X31" s="127">
        <f t="shared" si="14"/>
        <v>95000</v>
      </c>
      <c r="Y31" s="127">
        <f t="shared" si="15"/>
        <v>336000</v>
      </c>
      <c r="Z31" s="127">
        <f t="shared" si="16"/>
        <v>262272</v>
      </c>
      <c r="AA31" s="127">
        <f t="shared" si="17"/>
        <v>822272</v>
      </c>
      <c r="AB31" s="127">
        <f t="shared" si="18"/>
        <v>68522.666666666672</v>
      </c>
      <c r="AC31" s="129">
        <f t="shared" si="19"/>
        <v>399477.33333333331</v>
      </c>
      <c r="AD31" s="135">
        <f t="shared" si="20"/>
        <v>40000</v>
      </c>
      <c r="AE31" s="132">
        <v>3493</v>
      </c>
      <c r="AF31" s="116"/>
    </row>
    <row r="32" spans="1:32" ht="15.75" customHeight="1">
      <c r="A32" s="116"/>
      <c r="B32" s="117">
        <f t="shared" si="21"/>
        <v>26</v>
      </c>
      <c r="C32" s="118" t="s">
        <v>272</v>
      </c>
      <c r="D32" s="118" t="s">
        <v>274</v>
      </c>
      <c r="E32" s="120">
        <v>500000</v>
      </c>
      <c r="F32" s="120">
        <f t="shared" si="1"/>
        <v>150000</v>
      </c>
      <c r="G32" s="120">
        <f t="shared" si="2"/>
        <v>150000</v>
      </c>
      <c r="H32" s="120">
        <f t="shared" si="3"/>
        <v>100000</v>
      </c>
      <c r="I32" s="120">
        <f t="shared" si="4"/>
        <v>50000</v>
      </c>
      <c r="J32" s="120">
        <f t="shared" si="5"/>
        <v>50000</v>
      </c>
      <c r="K32" s="120">
        <f t="shared" si="6"/>
        <v>500000</v>
      </c>
      <c r="L32" s="120">
        <f t="shared" si="7"/>
        <v>32000</v>
      </c>
      <c r="M32" s="120"/>
      <c r="N32" s="118"/>
      <c r="O32" s="122"/>
      <c r="P32" s="118"/>
      <c r="Q32" s="122"/>
      <c r="R32" s="124">
        <f t="shared" si="8"/>
        <v>5616000</v>
      </c>
      <c r="S32" s="120">
        <f t="shared" si="9"/>
        <v>1323200</v>
      </c>
      <c r="T32" s="125">
        <f t="shared" si="10"/>
        <v>4292800</v>
      </c>
      <c r="U32" s="126">
        <f t="shared" si="11"/>
        <v>21000.000000000004</v>
      </c>
      <c r="V32" s="120">
        <f t="shared" si="12"/>
        <v>33000</v>
      </c>
      <c r="W32" s="127">
        <f t="shared" si="13"/>
        <v>75000</v>
      </c>
      <c r="X32" s="127">
        <f t="shared" si="14"/>
        <v>95000</v>
      </c>
      <c r="Y32" s="127">
        <f t="shared" si="15"/>
        <v>336000</v>
      </c>
      <c r="Z32" s="127">
        <f t="shared" si="16"/>
        <v>262272</v>
      </c>
      <c r="AA32" s="127">
        <f t="shared" si="17"/>
        <v>822272</v>
      </c>
      <c r="AB32" s="127">
        <f t="shared" si="18"/>
        <v>68522.666666666672</v>
      </c>
      <c r="AC32" s="129">
        <f t="shared" si="19"/>
        <v>399477.33333333331</v>
      </c>
      <c r="AD32" s="135">
        <f t="shared" si="20"/>
        <v>40000</v>
      </c>
      <c r="AE32" s="132">
        <v>3493</v>
      </c>
      <c r="AF32" s="116"/>
    </row>
    <row r="33" spans="1:32" ht="15.75" customHeight="1">
      <c r="A33" s="116"/>
      <c r="B33" s="117">
        <f t="shared" si="21"/>
        <v>27</v>
      </c>
      <c r="C33" s="118" t="s">
        <v>277</v>
      </c>
      <c r="D33" s="118" t="s">
        <v>279</v>
      </c>
      <c r="E33" s="120">
        <v>500000</v>
      </c>
      <c r="F33" s="120">
        <f t="shared" si="1"/>
        <v>150000</v>
      </c>
      <c r="G33" s="120">
        <f t="shared" si="2"/>
        <v>150000</v>
      </c>
      <c r="H33" s="120">
        <f t="shared" si="3"/>
        <v>100000</v>
      </c>
      <c r="I33" s="120">
        <f t="shared" si="4"/>
        <v>50000</v>
      </c>
      <c r="J33" s="120">
        <f t="shared" si="5"/>
        <v>50000</v>
      </c>
      <c r="K33" s="120">
        <f t="shared" si="6"/>
        <v>500000</v>
      </c>
      <c r="L33" s="120">
        <f t="shared" si="7"/>
        <v>32000</v>
      </c>
      <c r="M33" s="120"/>
      <c r="N33" s="118"/>
      <c r="O33" s="122"/>
      <c r="P33" s="118"/>
      <c r="Q33" s="122"/>
      <c r="R33" s="124">
        <f t="shared" si="8"/>
        <v>5616000</v>
      </c>
      <c r="S33" s="120">
        <f t="shared" si="9"/>
        <v>1323200</v>
      </c>
      <c r="T33" s="125">
        <f t="shared" si="10"/>
        <v>4292800</v>
      </c>
      <c r="U33" s="126">
        <f t="shared" si="11"/>
        <v>21000.000000000004</v>
      </c>
      <c r="V33" s="120">
        <f t="shared" si="12"/>
        <v>33000</v>
      </c>
      <c r="W33" s="127">
        <f t="shared" si="13"/>
        <v>75000</v>
      </c>
      <c r="X33" s="127">
        <f t="shared" si="14"/>
        <v>95000</v>
      </c>
      <c r="Y33" s="127">
        <f t="shared" si="15"/>
        <v>336000</v>
      </c>
      <c r="Z33" s="127">
        <f t="shared" si="16"/>
        <v>262272</v>
      </c>
      <c r="AA33" s="127">
        <f t="shared" si="17"/>
        <v>822272</v>
      </c>
      <c r="AB33" s="127">
        <f t="shared" si="18"/>
        <v>68522.666666666672</v>
      </c>
      <c r="AC33" s="129">
        <f t="shared" si="19"/>
        <v>399477.33333333331</v>
      </c>
      <c r="AD33" s="135">
        <f t="shared" si="20"/>
        <v>40000</v>
      </c>
      <c r="AE33" s="132">
        <v>3493</v>
      </c>
      <c r="AF33" s="116"/>
    </row>
    <row r="34" spans="1:32" ht="15.75" customHeight="1">
      <c r="A34" s="116"/>
      <c r="B34" s="117">
        <f t="shared" si="21"/>
        <v>28</v>
      </c>
      <c r="C34" s="118" t="s">
        <v>281</v>
      </c>
      <c r="D34" s="118" t="s">
        <v>283</v>
      </c>
      <c r="E34" s="120">
        <v>500000</v>
      </c>
      <c r="F34" s="120">
        <f t="shared" si="1"/>
        <v>150000</v>
      </c>
      <c r="G34" s="120">
        <f t="shared" si="2"/>
        <v>150000</v>
      </c>
      <c r="H34" s="120">
        <f t="shared" si="3"/>
        <v>100000</v>
      </c>
      <c r="I34" s="120">
        <f t="shared" si="4"/>
        <v>50000</v>
      </c>
      <c r="J34" s="120">
        <f t="shared" si="5"/>
        <v>50000</v>
      </c>
      <c r="K34" s="120">
        <f t="shared" si="6"/>
        <v>500000</v>
      </c>
      <c r="L34" s="120">
        <f t="shared" si="7"/>
        <v>32000</v>
      </c>
      <c r="M34" s="120"/>
      <c r="N34" s="118"/>
      <c r="O34" s="122"/>
      <c r="P34" s="118"/>
      <c r="Q34" s="122"/>
      <c r="R34" s="124">
        <f t="shared" si="8"/>
        <v>5616000</v>
      </c>
      <c r="S34" s="120">
        <f t="shared" si="9"/>
        <v>1323200</v>
      </c>
      <c r="T34" s="125">
        <f t="shared" si="10"/>
        <v>4292800</v>
      </c>
      <c r="U34" s="126">
        <f t="shared" si="11"/>
        <v>21000.000000000004</v>
      </c>
      <c r="V34" s="120">
        <f t="shared" si="12"/>
        <v>33000</v>
      </c>
      <c r="W34" s="127">
        <f t="shared" si="13"/>
        <v>75000</v>
      </c>
      <c r="X34" s="127">
        <f t="shared" si="14"/>
        <v>95000</v>
      </c>
      <c r="Y34" s="127">
        <f t="shared" si="15"/>
        <v>336000</v>
      </c>
      <c r="Z34" s="127">
        <f t="shared" si="16"/>
        <v>262272</v>
      </c>
      <c r="AA34" s="127">
        <f t="shared" si="17"/>
        <v>822272</v>
      </c>
      <c r="AB34" s="127">
        <f t="shared" si="18"/>
        <v>68522.666666666672</v>
      </c>
      <c r="AC34" s="129">
        <f t="shared" si="19"/>
        <v>399477.33333333331</v>
      </c>
      <c r="AD34" s="135">
        <f t="shared" si="20"/>
        <v>40000</v>
      </c>
      <c r="AE34" s="132">
        <v>3493</v>
      </c>
      <c r="AF34" s="116"/>
    </row>
    <row r="35" spans="1:32" ht="15.75" customHeight="1">
      <c r="A35" s="116"/>
      <c r="B35" s="117">
        <f t="shared" si="21"/>
        <v>29</v>
      </c>
      <c r="C35" s="118" t="s">
        <v>285</v>
      </c>
      <c r="D35" s="118" t="s">
        <v>286</v>
      </c>
      <c r="E35" s="120">
        <v>500000</v>
      </c>
      <c r="F35" s="120">
        <f t="shared" si="1"/>
        <v>150000</v>
      </c>
      <c r="G35" s="120">
        <f t="shared" si="2"/>
        <v>150000</v>
      </c>
      <c r="H35" s="120">
        <f t="shared" si="3"/>
        <v>100000</v>
      </c>
      <c r="I35" s="120">
        <f t="shared" si="4"/>
        <v>50000</v>
      </c>
      <c r="J35" s="120">
        <f t="shared" si="5"/>
        <v>50000</v>
      </c>
      <c r="K35" s="120">
        <f t="shared" si="6"/>
        <v>500000</v>
      </c>
      <c r="L35" s="120">
        <f t="shared" si="7"/>
        <v>32000</v>
      </c>
      <c r="M35" s="120"/>
      <c r="N35" s="118"/>
      <c r="O35" s="122"/>
      <c r="P35" s="118"/>
      <c r="Q35" s="122"/>
      <c r="R35" s="124">
        <f t="shared" si="8"/>
        <v>5616000</v>
      </c>
      <c r="S35" s="120">
        <f t="shared" si="9"/>
        <v>1323200</v>
      </c>
      <c r="T35" s="125">
        <f t="shared" si="10"/>
        <v>4292800</v>
      </c>
      <c r="U35" s="126">
        <f t="shared" si="11"/>
        <v>21000.000000000004</v>
      </c>
      <c r="V35" s="120">
        <f t="shared" si="12"/>
        <v>33000</v>
      </c>
      <c r="W35" s="127">
        <f t="shared" si="13"/>
        <v>75000</v>
      </c>
      <c r="X35" s="127">
        <f t="shared" si="14"/>
        <v>95000</v>
      </c>
      <c r="Y35" s="127">
        <f t="shared" si="15"/>
        <v>336000</v>
      </c>
      <c r="Z35" s="127">
        <f t="shared" si="16"/>
        <v>262272</v>
      </c>
      <c r="AA35" s="127">
        <f t="shared" si="17"/>
        <v>822272</v>
      </c>
      <c r="AB35" s="127">
        <f t="shared" si="18"/>
        <v>68522.666666666672</v>
      </c>
      <c r="AC35" s="129">
        <f t="shared" si="19"/>
        <v>399477.33333333331</v>
      </c>
      <c r="AD35" s="135">
        <f t="shared" si="20"/>
        <v>40000</v>
      </c>
      <c r="AE35" s="132">
        <v>3493</v>
      </c>
      <c r="AF35" s="116"/>
    </row>
    <row r="36" spans="1:32" ht="15.75" customHeight="1">
      <c r="A36" s="116"/>
      <c r="B36" s="117">
        <f t="shared" si="21"/>
        <v>30</v>
      </c>
      <c r="C36" s="118" t="s">
        <v>288</v>
      </c>
      <c r="D36" s="118" t="s">
        <v>290</v>
      </c>
      <c r="E36" s="120">
        <v>500000</v>
      </c>
      <c r="F36" s="120">
        <f t="shared" si="1"/>
        <v>150000</v>
      </c>
      <c r="G36" s="120">
        <f t="shared" si="2"/>
        <v>150000</v>
      </c>
      <c r="H36" s="120">
        <f t="shared" si="3"/>
        <v>100000</v>
      </c>
      <c r="I36" s="120">
        <f t="shared" si="4"/>
        <v>50000</v>
      </c>
      <c r="J36" s="120">
        <f t="shared" si="5"/>
        <v>50000</v>
      </c>
      <c r="K36" s="120">
        <f t="shared" si="6"/>
        <v>500000</v>
      </c>
      <c r="L36" s="120">
        <f t="shared" si="7"/>
        <v>32000</v>
      </c>
      <c r="M36" s="120"/>
      <c r="N36" s="118"/>
      <c r="O36" s="122"/>
      <c r="P36" s="118"/>
      <c r="Q36" s="122"/>
      <c r="R36" s="124">
        <f t="shared" si="8"/>
        <v>5616000</v>
      </c>
      <c r="S36" s="120">
        <f t="shared" si="9"/>
        <v>1323200</v>
      </c>
      <c r="T36" s="125">
        <f t="shared" si="10"/>
        <v>4292800</v>
      </c>
      <c r="U36" s="126">
        <f t="shared" si="11"/>
        <v>21000.000000000004</v>
      </c>
      <c r="V36" s="120">
        <f t="shared" si="12"/>
        <v>33000</v>
      </c>
      <c r="W36" s="127">
        <f t="shared" si="13"/>
        <v>75000</v>
      </c>
      <c r="X36" s="127">
        <f t="shared" si="14"/>
        <v>95000</v>
      </c>
      <c r="Y36" s="127">
        <f t="shared" si="15"/>
        <v>336000</v>
      </c>
      <c r="Z36" s="127">
        <f t="shared" si="16"/>
        <v>262272</v>
      </c>
      <c r="AA36" s="127">
        <f t="shared" si="17"/>
        <v>822272</v>
      </c>
      <c r="AB36" s="127">
        <f t="shared" si="18"/>
        <v>68522.666666666672</v>
      </c>
      <c r="AC36" s="129">
        <f t="shared" si="19"/>
        <v>399477.33333333331</v>
      </c>
      <c r="AD36" s="135">
        <f t="shared" si="20"/>
        <v>40000</v>
      </c>
      <c r="AE36" s="132">
        <v>3493</v>
      </c>
      <c r="AF36" s="116"/>
    </row>
    <row r="37" spans="1:32" ht="15.75" customHeight="1">
      <c r="A37" s="116"/>
      <c r="B37" s="117">
        <f t="shared" si="21"/>
        <v>31</v>
      </c>
      <c r="C37" s="118" t="s">
        <v>292</v>
      </c>
      <c r="D37" s="118" t="s">
        <v>294</v>
      </c>
      <c r="E37" s="120">
        <v>500000</v>
      </c>
      <c r="F37" s="120">
        <f t="shared" si="1"/>
        <v>150000</v>
      </c>
      <c r="G37" s="120">
        <f t="shared" si="2"/>
        <v>150000</v>
      </c>
      <c r="H37" s="120">
        <f t="shared" si="3"/>
        <v>100000</v>
      </c>
      <c r="I37" s="120">
        <f t="shared" si="4"/>
        <v>50000</v>
      </c>
      <c r="J37" s="120">
        <f t="shared" si="5"/>
        <v>50000</v>
      </c>
      <c r="K37" s="120">
        <f t="shared" si="6"/>
        <v>500000</v>
      </c>
      <c r="L37" s="120">
        <f t="shared" si="7"/>
        <v>32000</v>
      </c>
      <c r="M37" s="120"/>
      <c r="N37" s="118"/>
      <c r="O37" s="122"/>
      <c r="P37" s="118"/>
      <c r="Q37" s="122"/>
      <c r="R37" s="124">
        <f t="shared" si="8"/>
        <v>5616000</v>
      </c>
      <c r="S37" s="120">
        <f t="shared" si="9"/>
        <v>1323200</v>
      </c>
      <c r="T37" s="125">
        <f t="shared" si="10"/>
        <v>4292800</v>
      </c>
      <c r="U37" s="126">
        <f t="shared" si="11"/>
        <v>21000.000000000004</v>
      </c>
      <c r="V37" s="120">
        <f t="shared" si="12"/>
        <v>33000</v>
      </c>
      <c r="W37" s="127">
        <f t="shared" si="13"/>
        <v>75000</v>
      </c>
      <c r="X37" s="127">
        <f t="shared" si="14"/>
        <v>95000</v>
      </c>
      <c r="Y37" s="127">
        <f t="shared" si="15"/>
        <v>336000</v>
      </c>
      <c r="Z37" s="127">
        <f t="shared" si="16"/>
        <v>262272</v>
      </c>
      <c r="AA37" s="127">
        <f t="shared" si="17"/>
        <v>822272</v>
      </c>
      <c r="AB37" s="127">
        <f t="shared" si="18"/>
        <v>68522.666666666672</v>
      </c>
      <c r="AC37" s="129">
        <f t="shared" si="19"/>
        <v>399477.33333333331</v>
      </c>
      <c r="AD37" s="135">
        <f t="shared" si="20"/>
        <v>40000</v>
      </c>
      <c r="AE37" s="132">
        <v>3493</v>
      </c>
      <c r="AF37" s="116"/>
    </row>
    <row r="38" spans="1:32" ht="15.75" customHeight="1">
      <c r="A38" s="116"/>
      <c r="B38" s="117">
        <f t="shared" si="21"/>
        <v>32</v>
      </c>
      <c r="C38" s="118" t="s">
        <v>296</v>
      </c>
      <c r="D38" s="118" t="s">
        <v>298</v>
      </c>
      <c r="E38" s="120">
        <v>500000</v>
      </c>
      <c r="F38" s="120">
        <f t="shared" si="1"/>
        <v>150000</v>
      </c>
      <c r="G38" s="120">
        <f t="shared" si="2"/>
        <v>150000</v>
      </c>
      <c r="H38" s="120">
        <f t="shared" si="3"/>
        <v>100000</v>
      </c>
      <c r="I38" s="120">
        <f t="shared" si="4"/>
        <v>50000</v>
      </c>
      <c r="J38" s="120">
        <f t="shared" si="5"/>
        <v>50000</v>
      </c>
      <c r="K38" s="120">
        <f t="shared" si="6"/>
        <v>500000</v>
      </c>
      <c r="L38" s="120">
        <f t="shared" si="7"/>
        <v>32000</v>
      </c>
      <c r="M38" s="120"/>
      <c r="N38" s="118"/>
      <c r="O38" s="122"/>
      <c r="P38" s="118"/>
      <c r="Q38" s="122"/>
      <c r="R38" s="124">
        <f t="shared" si="8"/>
        <v>5616000</v>
      </c>
      <c r="S38" s="120">
        <f t="shared" si="9"/>
        <v>1323200</v>
      </c>
      <c r="T38" s="125">
        <f t="shared" si="10"/>
        <v>4292800</v>
      </c>
      <c r="U38" s="126">
        <f t="shared" si="11"/>
        <v>21000.000000000004</v>
      </c>
      <c r="V38" s="120">
        <f t="shared" si="12"/>
        <v>33000</v>
      </c>
      <c r="W38" s="127">
        <f t="shared" si="13"/>
        <v>75000</v>
      </c>
      <c r="X38" s="127">
        <f t="shared" si="14"/>
        <v>95000</v>
      </c>
      <c r="Y38" s="127">
        <f t="shared" si="15"/>
        <v>336000</v>
      </c>
      <c r="Z38" s="127">
        <f t="shared" si="16"/>
        <v>262272</v>
      </c>
      <c r="AA38" s="127">
        <f t="shared" si="17"/>
        <v>822272</v>
      </c>
      <c r="AB38" s="127">
        <f t="shared" si="18"/>
        <v>68522.666666666672</v>
      </c>
      <c r="AC38" s="129">
        <f t="shared" si="19"/>
        <v>399477.33333333331</v>
      </c>
      <c r="AD38" s="135">
        <f t="shared" si="20"/>
        <v>40000</v>
      </c>
      <c r="AE38" s="132">
        <v>3493</v>
      </c>
      <c r="AF38" s="116"/>
    </row>
    <row r="39" spans="1:32" ht="15.75" customHeight="1">
      <c r="A39" s="116"/>
      <c r="B39" s="117">
        <f t="shared" si="21"/>
        <v>33</v>
      </c>
      <c r="C39" s="118" t="s">
        <v>300</v>
      </c>
      <c r="D39" s="118" t="s">
        <v>302</v>
      </c>
      <c r="E39" s="120">
        <v>500000</v>
      </c>
      <c r="F39" s="120">
        <f t="shared" si="1"/>
        <v>150000</v>
      </c>
      <c r="G39" s="120">
        <f t="shared" si="2"/>
        <v>150000</v>
      </c>
      <c r="H39" s="120">
        <f t="shared" si="3"/>
        <v>100000</v>
      </c>
      <c r="I39" s="120">
        <f t="shared" si="4"/>
        <v>50000</v>
      </c>
      <c r="J39" s="120">
        <f t="shared" si="5"/>
        <v>50000</v>
      </c>
      <c r="K39" s="120">
        <f t="shared" si="6"/>
        <v>500000</v>
      </c>
      <c r="L39" s="120">
        <f t="shared" si="7"/>
        <v>32000</v>
      </c>
      <c r="M39" s="120"/>
      <c r="N39" s="118"/>
      <c r="O39" s="122"/>
      <c r="P39" s="118"/>
      <c r="Q39" s="122"/>
      <c r="R39" s="124">
        <f t="shared" si="8"/>
        <v>5616000</v>
      </c>
      <c r="S39" s="120">
        <f t="shared" si="9"/>
        <v>1323200</v>
      </c>
      <c r="T39" s="125">
        <f t="shared" si="10"/>
        <v>4292800</v>
      </c>
      <c r="U39" s="126">
        <f t="shared" si="11"/>
        <v>21000.000000000004</v>
      </c>
      <c r="V39" s="120">
        <f t="shared" si="12"/>
        <v>33000</v>
      </c>
      <c r="W39" s="127">
        <f t="shared" si="13"/>
        <v>75000</v>
      </c>
      <c r="X39" s="127">
        <f t="shared" si="14"/>
        <v>95000</v>
      </c>
      <c r="Y39" s="127">
        <f t="shared" si="15"/>
        <v>336000</v>
      </c>
      <c r="Z39" s="127">
        <f t="shared" si="16"/>
        <v>262272</v>
      </c>
      <c r="AA39" s="127">
        <f t="shared" si="17"/>
        <v>822272</v>
      </c>
      <c r="AB39" s="127">
        <f t="shared" si="18"/>
        <v>68522.666666666672</v>
      </c>
      <c r="AC39" s="129">
        <f t="shared" si="19"/>
        <v>399477.33333333331</v>
      </c>
      <c r="AD39" s="135">
        <f t="shared" si="20"/>
        <v>40000</v>
      </c>
      <c r="AE39" s="132">
        <v>3493</v>
      </c>
      <c r="AF39" s="116"/>
    </row>
    <row r="40" spans="1:32" ht="15.75" customHeight="1">
      <c r="A40" s="116"/>
      <c r="B40" s="117">
        <f t="shared" si="21"/>
        <v>34</v>
      </c>
      <c r="C40" s="118" t="s">
        <v>304</v>
      </c>
      <c r="D40" s="118" t="s">
        <v>306</v>
      </c>
      <c r="E40" s="120">
        <v>500000</v>
      </c>
      <c r="F40" s="120">
        <f t="shared" si="1"/>
        <v>150000</v>
      </c>
      <c r="G40" s="120">
        <f t="shared" si="2"/>
        <v>150000</v>
      </c>
      <c r="H40" s="120">
        <f t="shared" si="3"/>
        <v>100000</v>
      </c>
      <c r="I40" s="120">
        <f t="shared" si="4"/>
        <v>50000</v>
      </c>
      <c r="J40" s="120">
        <f t="shared" si="5"/>
        <v>50000</v>
      </c>
      <c r="K40" s="120">
        <f t="shared" si="6"/>
        <v>500000</v>
      </c>
      <c r="L40" s="120">
        <f t="shared" si="7"/>
        <v>32000</v>
      </c>
      <c r="M40" s="120"/>
      <c r="N40" s="118"/>
      <c r="O40" s="122"/>
      <c r="P40" s="118"/>
      <c r="Q40" s="122"/>
      <c r="R40" s="124">
        <f t="shared" si="8"/>
        <v>5616000</v>
      </c>
      <c r="S40" s="120">
        <f t="shared" si="9"/>
        <v>1323200</v>
      </c>
      <c r="T40" s="125">
        <f t="shared" si="10"/>
        <v>4292800</v>
      </c>
      <c r="U40" s="126">
        <f t="shared" si="11"/>
        <v>21000.000000000004</v>
      </c>
      <c r="V40" s="120">
        <f t="shared" si="12"/>
        <v>33000</v>
      </c>
      <c r="W40" s="127">
        <f t="shared" si="13"/>
        <v>75000</v>
      </c>
      <c r="X40" s="127">
        <f t="shared" si="14"/>
        <v>95000</v>
      </c>
      <c r="Y40" s="127">
        <f t="shared" si="15"/>
        <v>336000</v>
      </c>
      <c r="Z40" s="127">
        <f t="shared" si="16"/>
        <v>262272</v>
      </c>
      <c r="AA40" s="127">
        <f t="shared" si="17"/>
        <v>822272</v>
      </c>
      <c r="AB40" s="127">
        <f t="shared" si="18"/>
        <v>68522.666666666672</v>
      </c>
      <c r="AC40" s="129">
        <f t="shared" si="19"/>
        <v>399477.33333333331</v>
      </c>
      <c r="AD40" s="135">
        <f t="shared" si="20"/>
        <v>40000</v>
      </c>
      <c r="AE40" s="132">
        <v>3493</v>
      </c>
      <c r="AF40" s="116"/>
    </row>
    <row r="41" spans="1:32" ht="15.75" customHeight="1">
      <c r="A41" s="116"/>
      <c r="B41" s="117">
        <f t="shared" si="21"/>
        <v>35</v>
      </c>
      <c r="C41" s="118" t="s">
        <v>308</v>
      </c>
      <c r="D41" s="118" t="s">
        <v>310</v>
      </c>
      <c r="E41" s="120">
        <v>500000</v>
      </c>
      <c r="F41" s="120">
        <f t="shared" si="1"/>
        <v>150000</v>
      </c>
      <c r="G41" s="120">
        <f t="shared" si="2"/>
        <v>150000</v>
      </c>
      <c r="H41" s="120">
        <f t="shared" si="3"/>
        <v>100000</v>
      </c>
      <c r="I41" s="120">
        <f t="shared" si="4"/>
        <v>50000</v>
      </c>
      <c r="J41" s="120">
        <f t="shared" si="5"/>
        <v>50000</v>
      </c>
      <c r="K41" s="120">
        <f t="shared" si="6"/>
        <v>500000</v>
      </c>
      <c r="L41" s="120">
        <f t="shared" si="7"/>
        <v>32000</v>
      </c>
      <c r="M41" s="120"/>
      <c r="N41" s="118"/>
      <c r="O41" s="122"/>
      <c r="P41" s="118"/>
      <c r="Q41" s="122"/>
      <c r="R41" s="124">
        <f t="shared" si="8"/>
        <v>5616000</v>
      </c>
      <c r="S41" s="120">
        <f t="shared" si="9"/>
        <v>1323200</v>
      </c>
      <c r="T41" s="125">
        <f t="shared" si="10"/>
        <v>4292800</v>
      </c>
      <c r="U41" s="126">
        <f t="shared" si="11"/>
        <v>21000.000000000004</v>
      </c>
      <c r="V41" s="120">
        <f t="shared" si="12"/>
        <v>33000</v>
      </c>
      <c r="W41" s="127">
        <f t="shared" si="13"/>
        <v>75000</v>
      </c>
      <c r="X41" s="127">
        <f t="shared" si="14"/>
        <v>95000</v>
      </c>
      <c r="Y41" s="127">
        <f t="shared" si="15"/>
        <v>336000</v>
      </c>
      <c r="Z41" s="127">
        <f t="shared" si="16"/>
        <v>262272</v>
      </c>
      <c r="AA41" s="127">
        <f t="shared" si="17"/>
        <v>822272</v>
      </c>
      <c r="AB41" s="127">
        <f t="shared" si="18"/>
        <v>68522.666666666672</v>
      </c>
      <c r="AC41" s="129">
        <f t="shared" si="19"/>
        <v>399477.33333333331</v>
      </c>
      <c r="AD41" s="135">
        <f t="shared" si="20"/>
        <v>40000</v>
      </c>
      <c r="AE41" s="132">
        <v>3493</v>
      </c>
      <c r="AF41" s="116"/>
    </row>
    <row r="42" spans="1:32" ht="15.75" customHeight="1">
      <c r="A42" s="116"/>
      <c r="B42" s="117">
        <f t="shared" si="21"/>
        <v>36</v>
      </c>
      <c r="C42" s="118" t="s">
        <v>313</v>
      </c>
      <c r="D42" s="118" t="s">
        <v>314</v>
      </c>
      <c r="E42" s="120">
        <v>500000</v>
      </c>
      <c r="F42" s="120">
        <f t="shared" si="1"/>
        <v>150000</v>
      </c>
      <c r="G42" s="120">
        <f t="shared" si="2"/>
        <v>150000</v>
      </c>
      <c r="H42" s="120">
        <f t="shared" si="3"/>
        <v>100000</v>
      </c>
      <c r="I42" s="120">
        <f t="shared" si="4"/>
        <v>50000</v>
      </c>
      <c r="J42" s="120">
        <f t="shared" si="5"/>
        <v>50000</v>
      </c>
      <c r="K42" s="120">
        <f t="shared" si="6"/>
        <v>500000</v>
      </c>
      <c r="L42" s="120">
        <f t="shared" si="7"/>
        <v>32000</v>
      </c>
      <c r="M42" s="120"/>
      <c r="N42" s="118"/>
      <c r="O42" s="122"/>
      <c r="P42" s="118"/>
      <c r="Q42" s="122"/>
      <c r="R42" s="124">
        <f t="shared" si="8"/>
        <v>5616000</v>
      </c>
      <c r="S42" s="120">
        <f t="shared" si="9"/>
        <v>1323200</v>
      </c>
      <c r="T42" s="125">
        <f t="shared" si="10"/>
        <v>4292800</v>
      </c>
      <c r="U42" s="126">
        <f t="shared" si="11"/>
        <v>21000.000000000004</v>
      </c>
      <c r="V42" s="120">
        <f t="shared" si="12"/>
        <v>33000</v>
      </c>
      <c r="W42" s="127">
        <f t="shared" si="13"/>
        <v>75000</v>
      </c>
      <c r="X42" s="127">
        <f t="shared" si="14"/>
        <v>95000</v>
      </c>
      <c r="Y42" s="127">
        <f t="shared" si="15"/>
        <v>336000</v>
      </c>
      <c r="Z42" s="127">
        <f t="shared" si="16"/>
        <v>262272</v>
      </c>
      <c r="AA42" s="127">
        <f t="shared" si="17"/>
        <v>822272</v>
      </c>
      <c r="AB42" s="127">
        <f t="shared" si="18"/>
        <v>68522.666666666672</v>
      </c>
      <c r="AC42" s="129">
        <f t="shared" si="19"/>
        <v>399477.33333333331</v>
      </c>
      <c r="AD42" s="135">
        <f t="shared" si="20"/>
        <v>40000</v>
      </c>
      <c r="AE42" s="132">
        <v>3493</v>
      </c>
      <c r="AF42" s="116"/>
    </row>
    <row r="43" spans="1:32" ht="15.75" customHeight="1">
      <c r="A43" s="116"/>
      <c r="B43" s="117">
        <f t="shared" si="21"/>
        <v>37</v>
      </c>
      <c r="C43" s="118" t="s">
        <v>316</v>
      </c>
      <c r="D43" s="118" t="s">
        <v>317</v>
      </c>
      <c r="E43" s="120">
        <v>500000</v>
      </c>
      <c r="F43" s="120">
        <f t="shared" si="1"/>
        <v>150000</v>
      </c>
      <c r="G43" s="120">
        <f t="shared" si="2"/>
        <v>150000</v>
      </c>
      <c r="H43" s="120">
        <f t="shared" si="3"/>
        <v>100000</v>
      </c>
      <c r="I43" s="120">
        <f t="shared" si="4"/>
        <v>50000</v>
      </c>
      <c r="J43" s="120">
        <f t="shared" si="5"/>
        <v>50000</v>
      </c>
      <c r="K43" s="120">
        <f t="shared" si="6"/>
        <v>500000</v>
      </c>
      <c r="L43" s="120">
        <f t="shared" si="7"/>
        <v>32000</v>
      </c>
      <c r="M43" s="120"/>
      <c r="N43" s="118"/>
      <c r="O43" s="122"/>
      <c r="P43" s="118"/>
      <c r="Q43" s="122"/>
      <c r="R43" s="124">
        <f t="shared" si="8"/>
        <v>5616000</v>
      </c>
      <c r="S43" s="120">
        <f t="shared" si="9"/>
        <v>1323200</v>
      </c>
      <c r="T43" s="125">
        <f t="shared" si="10"/>
        <v>4292800</v>
      </c>
      <c r="U43" s="126">
        <f t="shared" si="11"/>
        <v>21000.000000000004</v>
      </c>
      <c r="V43" s="120">
        <f t="shared" si="12"/>
        <v>33000</v>
      </c>
      <c r="W43" s="127">
        <f t="shared" si="13"/>
        <v>75000</v>
      </c>
      <c r="X43" s="127">
        <f t="shared" si="14"/>
        <v>95000</v>
      </c>
      <c r="Y43" s="127">
        <f t="shared" si="15"/>
        <v>336000</v>
      </c>
      <c r="Z43" s="127">
        <f t="shared" si="16"/>
        <v>262272</v>
      </c>
      <c r="AA43" s="127">
        <f t="shared" si="17"/>
        <v>822272</v>
      </c>
      <c r="AB43" s="127">
        <f t="shared" si="18"/>
        <v>68522.666666666672</v>
      </c>
      <c r="AC43" s="129">
        <f t="shared" si="19"/>
        <v>399477.33333333331</v>
      </c>
      <c r="AD43" s="135">
        <f t="shared" si="20"/>
        <v>40000</v>
      </c>
      <c r="AE43" s="132">
        <v>3493</v>
      </c>
      <c r="AF43" s="116"/>
    </row>
    <row r="44" spans="1:32" ht="15.75" customHeight="1">
      <c r="A44" s="116"/>
      <c r="B44" s="117">
        <f t="shared" si="21"/>
        <v>38</v>
      </c>
      <c r="C44" s="118" t="s">
        <v>319</v>
      </c>
      <c r="D44" s="118" t="s">
        <v>321</v>
      </c>
      <c r="E44" s="120">
        <v>500000</v>
      </c>
      <c r="F44" s="120">
        <f t="shared" si="1"/>
        <v>150000</v>
      </c>
      <c r="G44" s="120">
        <f t="shared" si="2"/>
        <v>150000</v>
      </c>
      <c r="H44" s="120">
        <f t="shared" si="3"/>
        <v>100000</v>
      </c>
      <c r="I44" s="120">
        <f t="shared" si="4"/>
        <v>50000</v>
      </c>
      <c r="J44" s="120">
        <f t="shared" si="5"/>
        <v>50000</v>
      </c>
      <c r="K44" s="120">
        <f t="shared" si="6"/>
        <v>500000</v>
      </c>
      <c r="L44" s="120">
        <f t="shared" si="7"/>
        <v>32000</v>
      </c>
      <c r="M44" s="120"/>
      <c r="N44" s="118"/>
      <c r="O44" s="122"/>
      <c r="P44" s="118"/>
      <c r="Q44" s="122"/>
      <c r="R44" s="124">
        <f t="shared" si="8"/>
        <v>5616000</v>
      </c>
      <c r="S44" s="120">
        <f t="shared" si="9"/>
        <v>1323200</v>
      </c>
      <c r="T44" s="125">
        <f t="shared" si="10"/>
        <v>4292800</v>
      </c>
      <c r="U44" s="126">
        <f t="shared" si="11"/>
        <v>21000.000000000004</v>
      </c>
      <c r="V44" s="120">
        <f t="shared" si="12"/>
        <v>33000</v>
      </c>
      <c r="W44" s="127">
        <f t="shared" si="13"/>
        <v>75000</v>
      </c>
      <c r="X44" s="127">
        <f t="shared" si="14"/>
        <v>95000</v>
      </c>
      <c r="Y44" s="127">
        <f t="shared" si="15"/>
        <v>336000</v>
      </c>
      <c r="Z44" s="127">
        <f t="shared" si="16"/>
        <v>262272</v>
      </c>
      <c r="AA44" s="127">
        <f t="shared" si="17"/>
        <v>822272</v>
      </c>
      <c r="AB44" s="127">
        <f t="shared" si="18"/>
        <v>68522.666666666672</v>
      </c>
      <c r="AC44" s="129">
        <f t="shared" si="19"/>
        <v>399477.33333333331</v>
      </c>
      <c r="AD44" s="135">
        <f t="shared" si="20"/>
        <v>40000</v>
      </c>
      <c r="AE44" s="132">
        <v>3493</v>
      </c>
      <c r="AF44" s="116"/>
    </row>
    <row r="45" spans="1:32" ht="15.75" customHeight="1">
      <c r="A45" s="116"/>
      <c r="B45" s="117">
        <f t="shared" si="21"/>
        <v>39</v>
      </c>
      <c r="C45" s="118" t="s">
        <v>324</v>
      </c>
      <c r="D45" s="118" t="s">
        <v>325</v>
      </c>
      <c r="E45" s="120">
        <v>500000</v>
      </c>
      <c r="F45" s="120">
        <f t="shared" si="1"/>
        <v>150000</v>
      </c>
      <c r="G45" s="120">
        <f t="shared" si="2"/>
        <v>150000</v>
      </c>
      <c r="H45" s="120">
        <f t="shared" si="3"/>
        <v>100000</v>
      </c>
      <c r="I45" s="120">
        <f t="shared" si="4"/>
        <v>50000</v>
      </c>
      <c r="J45" s="120">
        <f t="shared" si="5"/>
        <v>50000</v>
      </c>
      <c r="K45" s="120">
        <f t="shared" si="6"/>
        <v>500000</v>
      </c>
      <c r="L45" s="120">
        <f t="shared" si="7"/>
        <v>32000</v>
      </c>
      <c r="M45" s="120"/>
      <c r="N45" s="118"/>
      <c r="O45" s="122"/>
      <c r="P45" s="118"/>
      <c r="Q45" s="122"/>
      <c r="R45" s="124">
        <f t="shared" si="8"/>
        <v>5616000</v>
      </c>
      <c r="S45" s="120">
        <f t="shared" si="9"/>
        <v>1323200</v>
      </c>
      <c r="T45" s="125">
        <f t="shared" si="10"/>
        <v>4292800</v>
      </c>
      <c r="U45" s="126">
        <f t="shared" si="11"/>
        <v>21000.000000000004</v>
      </c>
      <c r="V45" s="120">
        <f t="shared" si="12"/>
        <v>33000</v>
      </c>
      <c r="W45" s="127">
        <f t="shared" si="13"/>
        <v>75000</v>
      </c>
      <c r="X45" s="127">
        <f t="shared" si="14"/>
        <v>95000</v>
      </c>
      <c r="Y45" s="127">
        <f t="shared" si="15"/>
        <v>336000</v>
      </c>
      <c r="Z45" s="127">
        <f t="shared" si="16"/>
        <v>262272</v>
      </c>
      <c r="AA45" s="127">
        <f t="shared" si="17"/>
        <v>822272</v>
      </c>
      <c r="AB45" s="127">
        <f t="shared" si="18"/>
        <v>68522.666666666672</v>
      </c>
      <c r="AC45" s="129">
        <f t="shared" si="19"/>
        <v>399477.33333333331</v>
      </c>
      <c r="AD45" s="135">
        <f t="shared" si="20"/>
        <v>40000</v>
      </c>
      <c r="AE45" s="132">
        <v>3493</v>
      </c>
      <c r="AF45" s="116"/>
    </row>
    <row r="46" spans="1:32" ht="15.75" customHeight="1">
      <c r="A46" s="116"/>
      <c r="B46" s="117">
        <f t="shared" si="21"/>
        <v>40</v>
      </c>
      <c r="C46" s="118" t="s">
        <v>327</v>
      </c>
      <c r="D46" s="118" t="s">
        <v>328</v>
      </c>
      <c r="E46" s="120">
        <v>500000</v>
      </c>
      <c r="F46" s="120">
        <f t="shared" si="1"/>
        <v>150000</v>
      </c>
      <c r="G46" s="120">
        <f t="shared" si="2"/>
        <v>150000</v>
      </c>
      <c r="H46" s="120">
        <f t="shared" si="3"/>
        <v>100000</v>
      </c>
      <c r="I46" s="120">
        <f t="shared" si="4"/>
        <v>50000</v>
      </c>
      <c r="J46" s="120">
        <f t="shared" si="5"/>
        <v>50000</v>
      </c>
      <c r="K46" s="120">
        <f t="shared" si="6"/>
        <v>500000</v>
      </c>
      <c r="L46" s="120">
        <f t="shared" si="7"/>
        <v>32000</v>
      </c>
      <c r="M46" s="120"/>
      <c r="N46" s="118"/>
      <c r="O46" s="122"/>
      <c r="P46" s="118"/>
      <c r="Q46" s="122"/>
      <c r="R46" s="124">
        <f t="shared" si="8"/>
        <v>5616000</v>
      </c>
      <c r="S46" s="120">
        <f t="shared" si="9"/>
        <v>1323200</v>
      </c>
      <c r="T46" s="125">
        <f t="shared" si="10"/>
        <v>4292800</v>
      </c>
      <c r="U46" s="126">
        <f t="shared" si="11"/>
        <v>21000.000000000004</v>
      </c>
      <c r="V46" s="120">
        <f t="shared" si="12"/>
        <v>33000</v>
      </c>
      <c r="W46" s="127">
        <f t="shared" si="13"/>
        <v>75000</v>
      </c>
      <c r="X46" s="127">
        <f t="shared" si="14"/>
        <v>95000</v>
      </c>
      <c r="Y46" s="127">
        <f t="shared" si="15"/>
        <v>336000</v>
      </c>
      <c r="Z46" s="127">
        <f t="shared" si="16"/>
        <v>262272</v>
      </c>
      <c r="AA46" s="127">
        <f t="shared" si="17"/>
        <v>822272</v>
      </c>
      <c r="AB46" s="127">
        <f t="shared" si="18"/>
        <v>68522.666666666672</v>
      </c>
      <c r="AC46" s="129">
        <f t="shared" si="19"/>
        <v>399477.33333333331</v>
      </c>
      <c r="AD46" s="135">
        <f t="shared" si="20"/>
        <v>40000</v>
      </c>
      <c r="AE46" s="132">
        <v>3493</v>
      </c>
      <c r="AF46" s="116"/>
    </row>
    <row r="47" spans="1:32" ht="15.75" customHeight="1">
      <c r="A47" s="116"/>
      <c r="B47" s="117">
        <f t="shared" si="21"/>
        <v>41</v>
      </c>
      <c r="C47" s="118" t="s">
        <v>330</v>
      </c>
      <c r="D47" s="118" t="s">
        <v>332</v>
      </c>
      <c r="E47" s="120">
        <v>500000</v>
      </c>
      <c r="F47" s="120">
        <f t="shared" si="1"/>
        <v>150000</v>
      </c>
      <c r="G47" s="120">
        <f t="shared" si="2"/>
        <v>150000</v>
      </c>
      <c r="H47" s="120">
        <f t="shared" si="3"/>
        <v>100000</v>
      </c>
      <c r="I47" s="120">
        <f t="shared" si="4"/>
        <v>50000</v>
      </c>
      <c r="J47" s="120">
        <f t="shared" si="5"/>
        <v>50000</v>
      </c>
      <c r="K47" s="120">
        <f t="shared" si="6"/>
        <v>500000</v>
      </c>
      <c r="L47" s="120">
        <f t="shared" si="7"/>
        <v>32000</v>
      </c>
      <c r="M47" s="120"/>
      <c r="N47" s="118"/>
      <c r="O47" s="122"/>
      <c r="P47" s="118"/>
      <c r="Q47" s="122"/>
      <c r="R47" s="124">
        <f t="shared" si="8"/>
        <v>5616000</v>
      </c>
      <c r="S47" s="120">
        <f t="shared" si="9"/>
        <v>1323200</v>
      </c>
      <c r="T47" s="125">
        <f t="shared" si="10"/>
        <v>4292800</v>
      </c>
      <c r="U47" s="126">
        <f t="shared" si="11"/>
        <v>21000.000000000004</v>
      </c>
      <c r="V47" s="120">
        <f t="shared" si="12"/>
        <v>33000</v>
      </c>
      <c r="W47" s="127">
        <f t="shared" si="13"/>
        <v>75000</v>
      </c>
      <c r="X47" s="127">
        <f t="shared" si="14"/>
        <v>95000</v>
      </c>
      <c r="Y47" s="127">
        <f t="shared" si="15"/>
        <v>336000</v>
      </c>
      <c r="Z47" s="127">
        <f t="shared" si="16"/>
        <v>262272</v>
      </c>
      <c r="AA47" s="127">
        <f t="shared" si="17"/>
        <v>822272</v>
      </c>
      <c r="AB47" s="127">
        <f t="shared" si="18"/>
        <v>68522.666666666672</v>
      </c>
      <c r="AC47" s="129">
        <f t="shared" si="19"/>
        <v>399477.33333333331</v>
      </c>
      <c r="AD47" s="135">
        <f t="shared" si="20"/>
        <v>40000</v>
      </c>
      <c r="AE47" s="132">
        <v>3493</v>
      </c>
      <c r="AF47" s="116"/>
    </row>
    <row r="48" spans="1:32" ht="15.75" customHeight="1">
      <c r="A48" s="116"/>
      <c r="B48" s="117">
        <f t="shared" si="21"/>
        <v>42</v>
      </c>
      <c r="C48" s="118" t="s">
        <v>335</v>
      </c>
      <c r="D48" s="118" t="s">
        <v>337</v>
      </c>
      <c r="E48" s="120">
        <v>500000</v>
      </c>
      <c r="F48" s="120">
        <f t="shared" si="1"/>
        <v>150000</v>
      </c>
      <c r="G48" s="120">
        <f t="shared" si="2"/>
        <v>150000</v>
      </c>
      <c r="H48" s="120">
        <f t="shared" si="3"/>
        <v>100000</v>
      </c>
      <c r="I48" s="120">
        <f t="shared" si="4"/>
        <v>50000</v>
      </c>
      <c r="J48" s="120">
        <f t="shared" si="5"/>
        <v>50000</v>
      </c>
      <c r="K48" s="120">
        <f t="shared" si="6"/>
        <v>500000</v>
      </c>
      <c r="L48" s="120">
        <f t="shared" si="7"/>
        <v>32000</v>
      </c>
      <c r="M48" s="120"/>
      <c r="N48" s="118"/>
      <c r="O48" s="122"/>
      <c r="P48" s="118"/>
      <c r="Q48" s="122"/>
      <c r="R48" s="124">
        <f t="shared" si="8"/>
        <v>5616000</v>
      </c>
      <c r="S48" s="120">
        <f t="shared" si="9"/>
        <v>1323200</v>
      </c>
      <c r="T48" s="125">
        <f t="shared" si="10"/>
        <v>4292800</v>
      </c>
      <c r="U48" s="126">
        <f t="shared" si="11"/>
        <v>21000.000000000004</v>
      </c>
      <c r="V48" s="120">
        <f t="shared" si="12"/>
        <v>33000</v>
      </c>
      <c r="W48" s="127">
        <f t="shared" si="13"/>
        <v>75000</v>
      </c>
      <c r="X48" s="127">
        <f t="shared" si="14"/>
        <v>95000</v>
      </c>
      <c r="Y48" s="127">
        <f t="shared" si="15"/>
        <v>336000</v>
      </c>
      <c r="Z48" s="127">
        <f t="shared" si="16"/>
        <v>262272</v>
      </c>
      <c r="AA48" s="127">
        <f t="shared" si="17"/>
        <v>822272</v>
      </c>
      <c r="AB48" s="127">
        <f t="shared" si="18"/>
        <v>68522.666666666672</v>
      </c>
      <c r="AC48" s="129">
        <f t="shared" si="19"/>
        <v>399477.33333333331</v>
      </c>
      <c r="AD48" s="135">
        <f t="shared" si="20"/>
        <v>40000</v>
      </c>
      <c r="AE48" s="132">
        <v>3493</v>
      </c>
      <c r="AF48" s="116"/>
    </row>
    <row r="49" spans="1:32" ht="15.75" customHeight="1">
      <c r="A49" s="116"/>
      <c r="B49" s="117">
        <f t="shared" si="21"/>
        <v>43</v>
      </c>
      <c r="C49" s="118" t="s">
        <v>339</v>
      </c>
      <c r="D49" s="118" t="s">
        <v>341</v>
      </c>
      <c r="E49" s="120">
        <v>500000</v>
      </c>
      <c r="F49" s="120">
        <f t="shared" si="1"/>
        <v>150000</v>
      </c>
      <c r="G49" s="120">
        <f t="shared" si="2"/>
        <v>150000</v>
      </c>
      <c r="H49" s="120">
        <f t="shared" si="3"/>
        <v>100000</v>
      </c>
      <c r="I49" s="120">
        <f t="shared" si="4"/>
        <v>50000</v>
      </c>
      <c r="J49" s="120">
        <f t="shared" si="5"/>
        <v>50000</v>
      </c>
      <c r="K49" s="120">
        <f t="shared" si="6"/>
        <v>500000</v>
      </c>
      <c r="L49" s="120">
        <f t="shared" si="7"/>
        <v>32000</v>
      </c>
      <c r="M49" s="120"/>
      <c r="N49" s="118"/>
      <c r="O49" s="122"/>
      <c r="P49" s="118"/>
      <c r="Q49" s="122"/>
      <c r="R49" s="124">
        <f t="shared" si="8"/>
        <v>5616000</v>
      </c>
      <c r="S49" s="120">
        <f t="shared" si="9"/>
        <v>1323200</v>
      </c>
      <c r="T49" s="125">
        <f t="shared" si="10"/>
        <v>4292800</v>
      </c>
      <c r="U49" s="126">
        <f t="shared" si="11"/>
        <v>21000.000000000004</v>
      </c>
      <c r="V49" s="120">
        <f t="shared" si="12"/>
        <v>33000</v>
      </c>
      <c r="W49" s="127">
        <f t="shared" si="13"/>
        <v>75000</v>
      </c>
      <c r="X49" s="127">
        <f t="shared" si="14"/>
        <v>95000</v>
      </c>
      <c r="Y49" s="127">
        <f t="shared" si="15"/>
        <v>336000</v>
      </c>
      <c r="Z49" s="127">
        <f t="shared" si="16"/>
        <v>262272</v>
      </c>
      <c r="AA49" s="127">
        <f t="shared" si="17"/>
        <v>822272</v>
      </c>
      <c r="AB49" s="127">
        <f t="shared" si="18"/>
        <v>68522.666666666672</v>
      </c>
      <c r="AC49" s="129">
        <f t="shared" si="19"/>
        <v>399477.33333333331</v>
      </c>
      <c r="AD49" s="135">
        <f t="shared" si="20"/>
        <v>40000</v>
      </c>
      <c r="AE49" s="132">
        <v>3493</v>
      </c>
      <c r="AF49" s="116"/>
    </row>
    <row r="50" spans="1:32" ht="15.75" customHeight="1">
      <c r="A50" s="116"/>
      <c r="B50" s="117">
        <f t="shared" si="21"/>
        <v>44</v>
      </c>
      <c r="C50" s="118" t="s">
        <v>343</v>
      </c>
      <c r="D50" s="118" t="s">
        <v>345</v>
      </c>
      <c r="E50" s="120">
        <v>500000</v>
      </c>
      <c r="F50" s="120">
        <f t="shared" si="1"/>
        <v>150000</v>
      </c>
      <c r="G50" s="120">
        <f t="shared" si="2"/>
        <v>150000</v>
      </c>
      <c r="H50" s="120">
        <f t="shared" si="3"/>
        <v>100000</v>
      </c>
      <c r="I50" s="120">
        <f t="shared" si="4"/>
        <v>50000</v>
      </c>
      <c r="J50" s="120">
        <f t="shared" si="5"/>
        <v>50000</v>
      </c>
      <c r="K50" s="120">
        <f t="shared" si="6"/>
        <v>500000</v>
      </c>
      <c r="L50" s="120">
        <f t="shared" si="7"/>
        <v>32000</v>
      </c>
      <c r="M50" s="120"/>
      <c r="N50" s="118"/>
      <c r="O50" s="122"/>
      <c r="P50" s="118"/>
      <c r="Q50" s="122"/>
      <c r="R50" s="124">
        <f t="shared" si="8"/>
        <v>5616000</v>
      </c>
      <c r="S50" s="120">
        <f t="shared" si="9"/>
        <v>1323200</v>
      </c>
      <c r="T50" s="125">
        <f t="shared" si="10"/>
        <v>4292800</v>
      </c>
      <c r="U50" s="126">
        <f t="shared" si="11"/>
        <v>21000.000000000004</v>
      </c>
      <c r="V50" s="120">
        <f t="shared" si="12"/>
        <v>33000</v>
      </c>
      <c r="W50" s="127">
        <f t="shared" si="13"/>
        <v>75000</v>
      </c>
      <c r="X50" s="127">
        <f t="shared" si="14"/>
        <v>95000</v>
      </c>
      <c r="Y50" s="127">
        <f t="shared" si="15"/>
        <v>336000</v>
      </c>
      <c r="Z50" s="127">
        <f t="shared" si="16"/>
        <v>262272</v>
      </c>
      <c r="AA50" s="127">
        <f t="shared" si="17"/>
        <v>822272</v>
      </c>
      <c r="AB50" s="127">
        <f t="shared" si="18"/>
        <v>68522.666666666672</v>
      </c>
      <c r="AC50" s="129">
        <f t="shared" si="19"/>
        <v>399477.33333333331</v>
      </c>
      <c r="AD50" s="135">
        <f t="shared" si="20"/>
        <v>40000</v>
      </c>
      <c r="AE50" s="132">
        <v>3493</v>
      </c>
      <c r="AF50" s="116"/>
    </row>
    <row r="51" spans="1:32" ht="15.75" customHeight="1">
      <c r="A51" s="116"/>
      <c r="B51" s="117">
        <f t="shared" si="21"/>
        <v>45</v>
      </c>
      <c r="C51" s="118" t="s">
        <v>347</v>
      </c>
      <c r="D51" s="118" t="s">
        <v>349</v>
      </c>
      <c r="E51" s="120">
        <v>500000</v>
      </c>
      <c r="F51" s="120">
        <f t="shared" si="1"/>
        <v>150000</v>
      </c>
      <c r="G51" s="120">
        <f t="shared" si="2"/>
        <v>150000</v>
      </c>
      <c r="H51" s="120">
        <f t="shared" si="3"/>
        <v>100000</v>
      </c>
      <c r="I51" s="120">
        <f t="shared" si="4"/>
        <v>50000</v>
      </c>
      <c r="J51" s="120">
        <f t="shared" si="5"/>
        <v>50000</v>
      </c>
      <c r="K51" s="120">
        <f t="shared" si="6"/>
        <v>500000</v>
      </c>
      <c r="L51" s="120">
        <f t="shared" si="7"/>
        <v>32000</v>
      </c>
      <c r="M51" s="120"/>
      <c r="N51" s="118"/>
      <c r="O51" s="122"/>
      <c r="P51" s="118"/>
      <c r="Q51" s="122"/>
      <c r="R51" s="124">
        <f t="shared" si="8"/>
        <v>5616000</v>
      </c>
      <c r="S51" s="120">
        <f t="shared" si="9"/>
        <v>1323200</v>
      </c>
      <c r="T51" s="125">
        <f t="shared" si="10"/>
        <v>4292800</v>
      </c>
      <c r="U51" s="126">
        <f t="shared" si="11"/>
        <v>21000.000000000004</v>
      </c>
      <c r="V51" s="120">
        <f t="shared" si="12"/>
        <v>33000</v>
      </c>
      <c r="W51" s="127">
        <f t="shared" si="13"/>
        <v>75000</v>
      </c>
      <c r="X51" s="127">
        <f t="shared" si="14"/>
        <v>95000</v>
      </c>
      <c r="Y51" s="127">
        <f t="shared" si="15"/>
        <v>336000</v>
      </c>
      <c r="Z51" s="127">
        <f t="shared" si="16"/>
        <v>262272</v>
      </c>
      <c r="AA51" s="127">
        <f t="shared" si="17"/>
        <v>822272</v>
      </c>
      <c r="AB51" s="127">
        <f t="shared" si="18"/>
        <v>68522.666666666672</v>
      </c>
      <c r="AC51" s="129">
        <f t="shared" si="19"/>
        <v>399477.33333333331</v>
      </c>
      <c r="AD51" s="135">
        <f t="shared" si="20"/>
        <v>40000</v>
      </c>
      <c r="AE51" s="132">
        <v>3493</v>
      </c>
      <c r="AF51" s="116"/>
    </row>
    <row r="52" spans="1:32" ht="15.75" customHeight="1">
      <c r="A52" s="116"/>
      <c r="B52" s="117">
        <f t="shared" si="21"/>
        <v>46</v>
      </c>
      <c r="C52" s="118" t="s">
        <v>351</v>
      </c>
      <c r="D52" s="118" t="s">
        <v>353</v>
      </c>
      <c r="E52" s="120">
        <v>500000</v>
      </c>
      <c r="F52" s="120">
        <f t="shared" si="1"/>
        <v>150000</v>
      </c>
      <c r="G52" s="120">
        <f t="shared" si="2"/>
        <v>150000</v>
      </c>
      <c r="H52" s="120">
        <f t="shared" si="3"/>
        <v>100000</v>
      </c>
      <c r="I52" s="120">
        <f t="shared" si="4"/>
        <v>50000</v>
      </c>
      <c r="J52" s="120">
        <f t="shared" si="5"/>
        <v>50000</v>
      </c>
      <c r="K52" s="120">
        <f t="shared" si="6"/>
        <v>500000</v>
      </c>
      <c r="L52" s="120">
        <f t="shared" si="7"/>
        <v>32000</v>
      </c>
      <c r="M52" s="120"/>
      <c r="N52" s="118"/>
      <c r="O52" s="122"/>
      <c r="P52" s="118"/>
      <c r="Q52" s="122"/>
      <c r="R52" s="124">
        <f t="shared" si="8"/>
        <v>5616000</v>
      </c>
      <c r="S52" s="120">
        <f t="shared" si="9"/>
        <v>1323200</v>
      </c>
      <c r="T52" s="125">
        <f t="shared" si="10"/>
        <v>4292800</v>
      </c>
      <c r="U52" s="126">
        <f t="shared" si="11"/>
        <v>21000.000000000004</v>
      </c>
      <c r="V52" s="120">
        <f t="shared" si="12"/>
        <v>33000</v>
      </c>
      <c r="W52" s="127">
        <f t="shared" si="13"/>
        <v>75000</v>
      </c>
      <c r="X52" s="127">
        <f t="shared" si="14"/>
        <v>95000</v>
      </c>
      <c r="Y52" s="127">
        <f t="shared" si="15"/>
        <v>336000</v>
      </c>
      <c r="Z52" s="127">
        <f t="shared" si="16"/>
        <v>262272</v>
      </c>
      <c r="AA52" s="127">
        <f t="shared" si="17"/>
        <v>822272</v>
      </c>
      <c r="AB52" s="127">
        <f t="shared" si="18"/>
        <v>68522.666666666672</v>
      </c>
      <c r="AC52" s="129">
        <f t="shared" si="19"/>
        <v>399477.33333333331</v>
      </c>
      <c r="AD52" s="135">
        <f t="shared" si="20"/>
        <v>40000</v>
      </c>
      <c r="AE52" s="132">
        <v>3493</v>
      </c>
      <c r="AF52" s="116"/>
    </row>
    <row r="53" spans="1:32" ht="15.75" customHeight="1">
      <c r="A53" s="116"/>
      <c r="B53" s="117">
        <f t="shared" si="21"/>
        <v>47</v>
      </c>
      <c r="C53" s="118" t="s">
        <v>355</v>
      </c>
      <c r="D53" s="118" t="s">
        <v>357</v>
      </c>
      <c r="E53" s="120">
        <v>500000</v>
      </c>
      <c r="F53" s="120">
        <f t="shared" si="1"/>
        <v>150000</v>
      </c>
      <c r="G53" s="120">
        <f t="shared" si="2"/>
        <v>150000</v>
      </c>
      <c r="H53" s="120">
        <f t="shared" si="3"/>
        <v>100000</v>
      </c>
      <c r="I53" s="120">
        <f t="shared" si="4"/>
        <v>50000</v>
      </c>
      <c r="J53" s="120">
        <f t="shared" si="5"/>
        <v>50000</v>
      </c>
      <c r="K53" s="120">
        <f t="shared" si="6"/>
        <v>500000</v>
      </c>
      <c r="L53" s="120">
        <f t="shared" si="7"/>
        <v>32000</v>
      </c>
      <c r="M53" s="120"/>
      <c r="N53" s="118"/>
      <c r="O53" s="122"/>
      <c r="P53" s="118"/>
      <c r="Q53" s="122"/>
      <c r="R53" s="124">
        <f t="shared" si="8"/>
        <v>5616000</v>
      </c>
      <c r="S53" s="120">
        <f t="shared" si="9"/>
        <v>1323200</v>
      </c>
      <c r="T53" s="125">
        <f t="shared" si="10"/>
        <v>4292800</v>
      </c>
      <c r="U53" s="126">
        <f t="shared" si="11"/>
        <v>21000.000000000004</v>
      </c>
      <c r="V53" s="120">
        <f t="shared" si="12"/>
        <v>33000</v>
      </c>
      <c r="W53" s="127">
        <f t="shared" si="13"/>
        <v>75000</v>
      </c>
      <c r="X53" s="127">
        <f t="shared" si="14"/>
        <v>95000</v>
      </c>
      <c r="Y53" s="127">
        <f t="shared" si="15"/>
        <v>336000</v>
      </c>
      <c r="Z53" s="127">
        <f t="shared" si="16"/>
        <v>262272</v>
      </c>
      <c r="AA53" s="127">
        <f t="shared" si="17"/>
        <v>822272</v>
      </c>
      <c r="AB53" s="127">
        <f t="shared" si="18"/>
        <v>68522.666666666672</v>
      </c>
      <c r="AC53" s="129">
        <f t="shared" si="19"/>
        <v>399477.33333333331</v>
      </c>
      <c r="AD53" s="135">
        <f t="shared" si="20"/>
        <v>40000</v>
      </c>
      <c r="AE53" s="132">
        <v>3493</v>
      </c>
      <c r="AF53" s="116"/>
    </row>
    <row r="54" spans="1:32" ht="15.75" customHeight="1">
      <c r="A54" s="116"/>
      <c r="B54" s="117">
        <f t="shared" si="21"/>
        <v>48</v>
      </c>
      <c r="C54" s="118" t="s">
        <v>359</v>
      </c>
      <c r="D54" s="118" t="s">
        <v>361</v>
      </c>
      <c r="E54" s="120">
        <v>500000</v>
      </c>
      <c r="F54" s="120">
        <f t="shared" si="1"/>
        <v>150000</v>
      </c>
      <c r="G54" s="120">
        <f t="shared" si="2"/>
        <v>150000</v>
      </c>
      <c r="H54" s="120">
        <f t="shared" si="3"/>
        <v>100000</v>
      </c>
      <c r="I54" s="120">
        <f t="shared" si="4"/>
        <v>50000</v>
      </c>
      <c r="J54" s="120">
        <f t="shared" si="5"/>
        <v>50000</v>
      </c>
      <c r="K54" s="120">
        <f t="shared" si="6"/>
        <v>500000</v>
      </c>
      <c r="L54" s="120">
        <f t="shared" si="7"/>
        <v>32000</v>
      </c>
      <c r="M54" s="120"/>
      <c r="N54" s="118"/>
      <c r="O54" s="122"/>
      <c r="P54" s="118"/>
      <c r="Q54" s="122"/>
      <c r="R54" s="124">
        <f t="shared" si="8"/>
        <v>5616000</v>
      </c>
      <c r="S54" s="120">
        <f t="shared" si="9"/>
        <v>1323200</v>
      </c>
      <c r="T54" s="125">
        <f t="shared" si="10"/>
        <v>4292800</v>
      </c>
      <c r="U54" s="126">
        <f t="shared" si="11"/>
        <v>21000.000000000004</v>
      </c>
      <c r="V54" s="120">
        <f t="shared" si="12"/>
        <v>33000</v>
      </c>
      <c r="W54" s="127">
        <f t="shared" si="13"/>
        <v>75000</v>
      </c>
      <c r="X54" s="127">
        <f t="shared" si="14"/>
        <v>95000</v>
      </c>
      <c r="Y54" s="127">
        <f t="shared" si="15"/>
        <v>336000</v>
      </c>
      <c r="Z54" s="127">
        <f t="shared" si="16"/>
        <v>262272</v>
      </c>
      <c r="AA54" s="127">
        <f t="shared" si="17"/>
        <v>822272</v>
      </c>
      <c r="AB54" s="127">
        <f t="shared" si="18"/>
        <v>68522.666666666672</v>
      </c>
      <c r="AC54" s="129">
        <f t="shared" si="19"/>
        <v>399477.33333333331</v>
      </c>
      <c r="AD54" s="135">
        <f t="shared" si="20"/>
        <v>40000</v>
      </c>
      <c r="AE54" s="132">
        <v>3493</v>
      </c>
      <c r="AF54" s="116"/>
    </row>
    <row r="55" spans="1:32" ht="15.75" customHeight="1">
      <c r="A55" s="116"/>
      <c r="B55" s="117">
        <f t="shared" si="21"/>
        <v>49</v>
      </c>
      <c r="C55" s="118" t="s">
        <v>363</v>
      </c>
      <c r="D55" s="118" t="s">
        <v>365</v>
      </c>
      <c r="E55" s="120">
        <v>500000</v>
      </c>
      <c r="F55" s="120">
        <f t="shared" si="1"/>
        <v>150000</v>
      </c>
      <c r="G55" s="120">
        <f t="shared" si="2"/>
        <v>150000</v>
      </c>
      <c r="H55" s="120">
        <f t="shared" si="3"/>
        <v>100000</v>
      </c>
      <c r="I55" s="120">
        <f t="shared" si="4"/>
        <v>50000</v>
      </c>
      <c r="J55" s="120">
        <f t="shared" si="5"/>
        <v>50000</v>
      </c>
      <c r="K55" s="120">
        <f t="shared" si="6"/>
        <v>500000</v>
      </c>
      <c r="L55" s="120">
        <f t="shared" si="7"/>
        <v>32000</v>
      </c>
      <c r="M55" s="120"/>
      <c r="N55" s="118"/>
      <c r="O55" s="122"/>
      <c r="P55" s="118"/>
      <c r="Q55" s="122"/>
      <c r="R55" s="124">
        <f t="shared" si="8"/>
        <v>5616000</v>
      </c>
      <c r="S55" s="120">
        <f t="shared" si="9"/>
        <v>1323200</v>
      </c>
      <c r="T55" s="125">
        <f t="shared" si="10"/>
        <v>4292800</v>
      </c>
      <c r="U55" s="126">
        <f t="shared" si="11"/>
        <v>21000.000000000004</v>
      </c>
      <c r="V55" s="120">
        <f t="shared" si="12"/>
        <v>33000</v>
      </c>
      <c r="W55" s="127">
        <f t="shared" si="13"/>
        <v>75000</v>
      </c>
      <c r="X55" s="127">
        <f t="shared" si="14"/>
        <v>95000</v>
      </c>
      <c r="Y55" s="127">
        <f t="shared" si="15"/>
        <v>336000</v>
      </c>
      <c r="Z55" s="127">
        <f t="shared" si="16"/>
        <v>262272</v>
      </c>
      <c r="AA55" s="127">
        <f t="shared" si="17"/>
        <v>822272</v>
      </c>
      <c r="AB55" s="127">
        <f t="shared" si="18"/>
        <v>68522.666666666672</v>
      </c>
      <c r="AC55" s="129">
        <f t="shared" si="19"/>
        <v>399477.33333333331</v>
      </c>
      <c r="AD55" s="135">
        <f t="shared" si="20"/>
        <v>40000</v>
      </c>
      <c r="AE55" s="132">
        <v>3493</v>
      </c>
      <c r="AF55" s="116"/>
    </row>
    <row r="56" spans="1:32" ht="15.75" customHeight="1">
      <c r="A56" s="116"/>
      <c r="B56" s="117">
        <f t="shared" si="21"/>
        <v>50</v>
      </c>
      <c r="C56" s="118" t="s">
        <v>367</v>
      </c>
      <c r="D56" s="118" t="s">
        <v>368</v>
      </c>
      <c r="E56" s="120">
        <v>500000</v>
      </c>
      <c r="F56" s="120">
        <f t="shared" si="1"/>
        <v>150000</v>
      </c>
      <c r="G56" s="120">
        <f t="shared" si="2"/>
        <v>150000</v>
      </c>
      <c r="H56" s="120">
        <f t="shared" si="3"/>
        <v>100000</v>
      </c>
      <c r="I56" s="120">
        <f t="shared" si="4"/>
        <v>50000</v>
      </c>
      <c r="J56" s="120">
        <f t="shared" si="5"/>
        <v>50000</v>
      </c>
      <c r="K56" s="120">
        <f t="shared" si="6"/>
        <v>500000</v>
      </c>
      <c r="L56" s="120">
        <f t="shared" si="7"/>
        <v>32000</v>
      </c>
      <c r="M56" s="120"/>
      <c r="N56" s="118"/>
      <c r="O56" s="122"/>
      <c r="P56" s="118"/>
      <c r="Q56" s="122"/>
      <c r="R56" s="124">
        <f t="shared" si="8"/>
        <v>5616000</v>
      </c>
      <c r="S56" s="120">
        <f t="shared" si="9"/>
        <v>1323200</v>
      </c>
      <c r="T56" s="125">
        <f t="shared" si="10"/>
        <v>4292800</v>
      </c>
      <c r="U56" s="126">
        <f t="shared" si="11"/>
        <v>21000.000000000004</v>
      </c>
      <c r="V56" s="120">
        <f t="shared" si="12"/>
        <v>33000</v>
      </c>
      <c r="W56" s="127">
        <f t="shared" si="13"/>
        <v>75000</v>
      </c>
      <c r="X56" s="127">
        <f t="shared" si="14"/>
        <v>95000</v>
      </c>
      <c r="Y56" s="127">
        <f t="shared" si="15"/>
        <v>336000</v>
      </c>
      <c r="Z56" s="127">
        <f t="shared" si="16"/>
        <v>262272</v>
      </c>
      <c r="AA56" s="127">
        <f t="shared" si="17"/>
        <v>822272</v>
      </c>
      <c r="AB56" s="127">
        <f t="shared" si="18"/>
        <v>68522.666666666672</v>
      </c>
      <c r="AC56" s="129">
        <f t="shared" si="19"/>
        <v>399477.33333333331</v>
      </c>
      <c r="AD56" s="135">
        <f t="shared" si="20"/>
        <v>40000</v>
      </c>
      <c r="AE56" s="132">
        <v>3493</v>
      </c>
      <c r="AF56" s="116"/>
    </row>
    <row r="57" spans="1:32" ht="15.75" customHeight="1">
      <c r="A57" s="116"/>
      <c r="B57" s="117"/>
      <c r="C57" s="118"/>
      <c r="D57" s="118" t="s">
        <v>407</v>
      </c>
      <c r="E57" s="120"/>
      <c r="F57" s="120"/>
      <c r="G57" s="120"/>
      <c r="H57" s="120"/>
      <c r="I57" s="120"/>
      <c r="J57" s="120"/>
      <c r="K57" s="120"/>
      <c r="L57" s="120"/>
      <c r="M57" s="120"/>
      <c r="N57" s="118"/>
      <c r="O57" s="122"/>
      <c r="P57" s="118"/>
      <c r="Q57" s="122"/>
      <c r="R57" s="124"/>
      <c r="S57" s="120"/>
      <c r="T57" s="125"/>
      <c r="U57" s="126"/>
      <c r="V57" s="120"/>
      <c r="W57" s="127"/>
      <c r="X57" s="127"/>
      <c r="Y57" s="127"/>
      <c r="Z57" s="127"/>
      <c r="AA57" s="127"/>
      <c r="AB57" s="127"/>
      <c r="AC57" s="129"/>
      <c r="AD57" s="135"/>
      <c r="AE57" s="132"/>
      <c r="AF57" s="116"/>
    </row>
    <row r="58" spans="1:32" ht="15.75" customHeight="1">
      <c r="A58" s="116"/>
      <c r="B58" s="117"/>
      <c r="C58" s="118"/>
      <c r="D58" s="118" t="s">
        <v>409</v>
      </c>
      <c r="E58" s="120"/>
      <c r="F58" s="120"/>
      <c r="G58" s="120"/>
      <c r="H58" s="120"/>
      <c r="I58" s="120"/>
      <c r="J58" s="120"/>
      <c r="K58" s="120"/>
      <c r="L58" s="120"/>
      <c r="M58" s="120"/>
      <c r="N58" s="118"/>
      <c r="O58" s="122"/>
      <c r="P58" s="118"/>
      <c r="Q58" s="122"/>
      <c r="R58" s="124"/>
      <c r="S58" s="120"/>
      <c r="T58" s="125"/>
      <c r="U58" s="126"/>
      <c r="V58" s="120"/>
      <c r="W58" s="127"/>
      <c r="X58" s="127"/>
      <c r="Y58" s="127"/>
      <c r="Z58" s="127"/>
      <c r="AA58" s="127"/>
      <c r="AB58" s="127"/>
      <c r="AC58" s="129"/>
      <c r="AD58" s="135"/>
      <c r="AE58" s="132"/>
      <c r="AF58" s="116"/>
    </row>
    <row r="59" spans="1:32" ht="15.75" customHeight="1">
      <c r="A59" s="116"/>
      <c r="B59" s="117"/>
      <c r="C59" s="118"/>
      <c r="D59" s="118" t="s">
        <v>410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18"/>
      <c r="O59" s="122"/>
      <c r="P59" s="118"/>
      <c r="Q59" s="122"/>
      <c r="R59" s="124"/>
      <c r="S59" s="120"/>
      <c r="T59" s="125"/>
      <c r="U59" s="126"/>
      <c r="V59" s="120"/>
      <c r="W59" s="127"/>
      <c r="X59" s="127"/>
      <c r="Y59" s="127"/>
      <c r="Z59" s="127"/>
      <c r="AA59" s="127"/>
      <c r="AB59" s="127"/>
      <c r="AC59" s="129"/>
      <c r="AD59" s="135"/>
      <c r="AE59" s="132"/>
      <c r="AF59" s="116"/>
    </row>
    <row r="60" spans="1:32" ht="15.75" customHeight="1">
      <c r="A60" s="116"/>
      <c r="B60" s="117"/>
      <c r="C60" s="118"/>
      <c r="D60" s="118" t="s">
        <v>411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18"/>
      <c r="O60" s="122"/>
      <c r="P60" s="118"/>
      <c r="Q60" s="122"/>
      <c r="R60" s="124"/>
      <c r="S60" s="120"/>
      <c r="T60" s="125"/>
      <c r="U60" s="126"/>
      <c r="V60" s="120"/>
      <c r="W60" s="127"/>
      <c r="X60" s="127"/>
      <c r="Y60" s="127"/>
      <c r="Z60" s="127"/>
      <c r="AA60" s="127"/>
      <c r="AB60" s="127"/>
      <c r="AC60" s="129"/>
      <c r="AD60" s="135"/>
      <c r="AE60" s="132"/>
      <c r="AF60" s="116"/>
    </row>
    <row r="61" spans="1:32" ht="15.75" customHeight="1">
      <c r="A61" s="116"/>
      <c r="B61" s="117"/>
      <c r="C61" s="118"/>
      <c r="D61" s="118" t="s">
        <v>414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18"/>
      <c r="O61" s="122"/>
      <c r="P61" s="118"/>
      <c r="Q61" s="122"/>
      <c r="R61" s="124"/>
      <c r="S61" s="120"/>
      <c r="T61" s="125"/>
      <c r="U61" s="126"/>
      <c r="V61" s="120"/>
      <c r="W61" s="127"/>
      <c r="X61" s="127"/>
      <c r="Y61" s="127"/>
      <c r="Z61" s="127"/>
      <c r="AA61" s="127"/>
      <c r="AB61" s="127"/>
      <c r="AC61" s="129"/>
      <c r="AD61" s="135"/>
      <c r="AE61" s="132"/>
      <c r="AF61" s="116"/>
    </row>
    <row r="62" spans="1:32" ht="15.75" customHeight="1">
      <c r="A62" s="116"/>
      <c r="B62" s="117"/>
      <c r="C62" s="118"/>
      <c r="D62" s="118" t="s">
        <v>416</v>
      </c>
      <c r="E62" s="120"/>
      <c r="F62" s="120"/>
      <c r="G62" s="120"/>
      <c r="H62" s="120"/>
      <c r="I62" s="120"/>
      <c r="J62" s="120"/>
      <c r="K62" s="120"/>
      <c r="L62" s="120"/>
      <c r="M62" s="120"/>
      <c r="N62" s="118"/>
      <c r="O62" s="122"/>
      <c r="P62" s="118"/>
      <c r="Q62" s="122"/>
      <c r="R62" s="124"/>
      <c r="S62" s="120"/>
      <c r="T62" s="125"/>
      <c r="U62" s="126"/>
      <c r="V62" s="120"/>
      <c r="W62" s="127"/>
      <c r="X62" s="127"/>
      <c r="Y62" s="127"/>
      <c r="Z62" s="127"/>
      <c r="AA62" s="127"/>
      <c r="AB62" s="127"/>
      <c r="AC62" s="129"/>
      <c r="AD62" s="135"/>
      <c r="AE62" s="132"/>
      <c r="AF62" s="116"/>
    </row>
    <row r="63" spans="1:32" ht="15.75" customHeight="1">
      <c r="A63" s="116"/>
      <c r="B63" s="117"/>
      <c r="C63" s="118"/>
      <c r="D63" s="118" t="s">
        <v>418</v>
      </c>
      <c r="E63" s="120"/>
      <c r="F63" s="120"/>
      <c r="G63" s="120"/>
      <c r="H63" s="120"/>
      <c r="I63" s="120"/>
      <c r="J63" s="120"/>
      <c r="K63" s="120"/>
      <c r="L63" s="120"/>
      <c r="M63" s="120"/>
      <c r="N63" s="118"/>
      <c r="O63" s="122"/>
      <c r="P63" s="118"/>
      <c r="Q63" s="122"/>
      <c r="R63" s="124"/>
      <c r="S63" s="120"/>
      <c r="T63" s="125"/>
      <c r="U63" s="126"/>
      <c r="V63" s="120"/>
      <c r="W63" s="127"/>
      <c r="X63" s="127"/>
      <c r="Y63" s="127"/>
      <c r="Z63" s="127"/>
      <c r="AA63" s="127"/>
      <c r="AB63" s="127"/>
      <c r="AC63" s="129"/>
      <c r="AD63" s="135"/>
      <c r="AE63" s="132"/>
      <c r="AF63" s="116"/>
    </row>
    <row r="64" spans="1:32" ht="15.75" customHeight="1">
      <c r="A64" s="116"/>
      <c r="B64" s="117"/>
      <c r="C64" s="118"/>
      <c r="D64" s="118" t="s">
        <v>420</v>
      </c>
      <c r="E64" s="120"/>
      <c r="F64" s="120"/>
      <c r="G64" s="120"/>
      <c r="H64" s="120"/>
      <c r="I64" s="120"/>
      <c r="J64" s="120"/>
      <c r="K64" s="120"/>
      <c r="L64" s="120"/>
      <c r="M64" s="120"/>
      <c r="N64" s="118"/>
      <c r="O64" s="122"/>
      <c r="P64" s="118"/>
      <c r="Q64" s="122"/>
      <c r="R64" s="124"/>
      <c r="S64" s="120"/>
      <c r="T64" s="125"/>
      <c r="U64" s="126"/>
      <c r="V64" s="120"/>
      <c r="W64" s="127"/>
      <c r="X64" s="127"/>
      <c r="Y64" s="127"/>
      <c r="Z64" s="127"/>
      <c r="AA64" s="127"/>
      <c r="AB64" s="127"/>
      <c r="AC64" s="129"/>
      <c r="AD64" s="135"/>
      <c r="AE64" s="132"/>
      <c r="AF64" s="116"/>
    </row>
    <row r="65" spans="4:4" ht="15.75" customHeight="1">
      <c r="D65" s="1" t="s">
        <v>422</v>
      </c>
    </row>
    <row r="66" spans="4:4" ht="15.75" customHeight="1">
      <c r="D66" s="1" t="s">
        <v>423</v>
      </c>
    </row>
    <row r="67" spans="4:4" ht="15.75" customHeight="1">
      <c r="D67" s="1" t="s">
        <v>424</v>
      </c>
    </row>
    <row r="68" spans="4:4" ht="15.75" customHeight="1">
      <c r="D68" s="1" t="s">
        <v>426</v>
      </c>
    </row>
    <row r="69" spans="4:4" ht="15.75" customHeight="1"/>
    <row r="70" spans="4:4" ht="15.75" customHeight="1"/>
    <row r="71" spans="4:4" ht="15.75" customHeight="1"/>
    <row r="72" spans="4:4" ht="15.75" customHeight="1"/>
    <row r="73" spans="4:4" ht="15.75" customHeight="1"/>
    <row r="74" spans="4:4" ht="15.75" customHeight="1"/>
    <row r="75" spans="4:4" ht="15.75" customHeight="1"/>
    <row r="76" spans="4:4" ht="15.75" customHeight="1"/>
    <row r="77" spans="4:4" ht="15.75" customHeight="1"/>
    <row r="78" spans="4:4" ht="15.75" customHeight="1"/>
    <row r="79" spans="4:4" ht="15.75" customHeight="1"/>
    <row r="80" spans="4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D3"/>
    <mergeCell ref="F3:K3"/>
    <mergeCell ref="L3:N3"/>
    <mergeCell ref="Q3:T3"/>
    <mergeCell ref="U3:Z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2"/>
  <sheetViews>
    <sheetView workbookViewId="0"/>
  </sheetViews>
  <sheetFormatPr defaultColWidth="12.5703125" defaultRowHeight="15" customHeight="1"/>
  <cols>
    <col min="1" max="3" width="7.5703125" customWidth="1"/>
    <col min="4" max="4" width="10.7109375" customWidth="1"/>
    <col min="5" max="8" width="12.140625" customWidth="1"/>
    <col min="9" max="9" width="13" customWidth="1"/>
    <col min="10" max="10" width="12.140625" customWidth="1"/>
    <col min="11" max="11" width="10.7109375" customWidth="1"/>
    <col min="12" max="12" width="9.7109375" customWidth="1"/>
    <col min="13" max="13" width="10.7109375" customWidth="1"/>
    <col min="14" max="26" width="7.5703125" customWidth="1"/>
  </cols>
  <sheetData>
    <row r="1" spans="1:26" ht="15.75" customHeight="1">
      <c r="A1" s="220" t="s">
        <v>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7"/>
    </row>
    <row r="2" spans="1:26" ht="15.75" customHeight="1">
      <c r="A2" s="221" t="s">
        <v>3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7"/>
    </row>
    <row r="3" spans="1:26" ht="15.75" customHeight="1">
      <c r="A3" s="221" t="s">
        <v>5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7"/>
    </row>
    <row r="4" spans="1:26" ht="37.5" customHeight="1">
      <c r="A4" s="12" t="s">
        <v>6</v>
      </c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13</v>
      </c>
      <c r="H4" s="12" t="s">
        <v>14</v>
      </c>
      <c r="I4" s="12" t="s">
        <v>15</v>
      </c>
      <c r="J4" s="12" t="s">
        <v>16</v>
      </c>
      <c r="K4" s="14" t="s">
        <v>17</v>
      </c>
      <c r="L4" s="15" t="s">
        <v>18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>
      <c r="A5" s="21">
        <v>1</v>
      </c>
      <c r="B5" s="21" t="s">
        <v>21</v>
      </c>
      <c r="C5" s="21" t="s">
        <v>22</v>
      </c>
      <c r="D5" s="22">
        <v>50000</v>
      </c>
      <c r="E5" s="22">
        <v>5189992.7300000004</v>
      </c>
      <c r="F5" s="22">
        <f t="shared" ref="F5:F24" si="0">8%*E5</f>
        <v>415199.41840000002</v>
      </c>
      <c r="G5" s="22">
        <f t="shared" ref="G5:G24" si="1">2.5%*E5</f>
        <v>129749.81825000001</v>
      </c>
      <c r="H5" s="22">
        <f t="shared" ref="H5:H24" si="2">+E5-F5-G5</f>
        <v>4645043.4933500011</v>
      </c>
      <c r="I5" s="22">
        <f t="shared" ref="I5:I24" si="3">IF(1%*H5&gt;200000,(1%*H5)+20%*H5,200000+20%*H5)</f>
        <v>1129008.6986700003</v>
      </c>
      <c r="J5" s="22">
        <f t="shared" ref="J5:J24" si="4">+H5-I5</f>
        <v>3516034.7946800007</v>
      </c>
      <c r="K5" s="22">
        <f t="shared" ref="K5:K24" si="5">IF(J5&lt;=300000,7%*J5,IF(AND(J5&gt;300000,J5&lt;=600000),21000+(J5-300000)*11%,IF(AND(J5&gt;600000,J5&lt;=1100000),54000+(J5-600000)*15%,IF(AND(J5&gt;1100000,J5&lt;=1600000),129000+(J5-1100000)*19%,IF(AND(J5&gt;1600000,J5&lt;=3200000),224000+(J5-1600000)*21%,560000+(J5-3200000)*24%)))))</f>
        <v>635848.35072320013</v>
      </c>
      <c r="L5" s="35">
        <f t="shared" ref="L5:L24" si="6">+K5/12</f>
        <v>52987.36256026668</v>
      </c>
      <c r="M5" s="38">
        <f>(E5/12)-L5-(F5/12)</f>
        <v>344912.0800730667</v>
      </c>
    </row>
    <row r="6" spans="1:26" ht="15.75" customHeight="1">
      <c r="A6" s="21">
        <v>2</v>
      </c>
      <c r="B6" s="21" t="s">
        <v>31</v>
      </c>
      <c r="C6" s="21" t="s">
        <v>32</v>
      </c>
      <c r="D6" s="22">
        <v>100000</v>
      </c>
      <c r="E6" s="22">
        <f t="shared" ref="E6:E24" si="7">+D6*12</f>
        <v>1200000</v>
      </c>
      <c r="F6" s="22">
        <f t="shared" si="0"/>
        <v>96000</v>
      </c>
      <c r="G6" s="22">
        <f t="shared" si="1"/>
        <v>30000</v>
      </c>
      <c r="H6" s="22">
        <f t="shared" si="2"/>
        <v>1074000</v>
      </c>
      <c r="I6" s="22">
        <f t="shared" si="3"/>
        <v>414800</v>
      </c>
      <c r="J6" s="22">
        <f t="shared" si="4"/>
        <v>659200</v>
      </c>
      <c r="K6" s="22">
        <f t="shared" si="5"/>
        <v>62880</v>
      </c>
      <c r="L6" s="22">
        <f t="shared" si="6"/>
        <v>5240</v>
      </c>
    </row>
    <row r="7" spans="1:26" ht="15.75" customHeight="1">
      <c r="A7" s="21">
        <v>3</v>
      </c>
      <c r="B7" s="21" t="s">
        <v>38</v>
      </c>
      <c r="C7" s="21" t="s">
        <v>39</v>
      </c>
      <c r="D7" s="22">
        <v>50000</v>
      </c>
      <c r="E7" s="22">
        <f t="shared" si="7"/>
        <v>600000</v>
      </c>
      <c r="F7" s="22">
        <f t="shared" si="0"/>
        <v>48000</v>
      </c>
      <c r="G7" s="22">
        <f t="shared" si="1"/>
        <v>15000</v>
      </c>
      <c r="H7" s="22">
        <f t="shared" si="2"/>
        <v>537000</v>
      </c>
      <c r="I7" s="22">
        <f t="shared" si="3"/>
        <v>307400</v>
      </c>
      <c r="J7" s="22">
        <f t="shared" si="4"/>
        <v>229600</v>
      </c>
      <c r="K7" s="22">
        <f t="shared" si="5"/>
        <v>16072.000000000002</v>
      </c>
      <c r="L7" s="35">
        <f t="shared" si="6"/>
        <v>1339.3333333333335</v>
      </c>
    </row>
    <row r="8" spans="1:26" ht="15.75" customHeight="1">
      <c r="A8" s="21">
        <v>4</v>
      </c>
      <c r="B8" s="21" t="s">
        <v>51</v>
      </c>
      <c r="C8" s="21" t="s">
        <v>52</v>
      </c>
      <c r="D8" s="22">
        <v>120000</v>
      </c>
      <c r="E8" s="22">
        <f t="shared" si="7"/>
        <v>1440000</v>
      </c>
      <c r="F8" s="22">
        <f t="shared" si="0"/>
        <v>115200</v>
      </c>
      <c r="G8" s="22">
        <f t="shared" si="1"/>
        <v>36000</v>
      </c>
      <c r="H8" s="22">
        <f t="shared" si="2"/>
        <v>1288800</v>
      </c>
      <c r="I8" s="22">
        <f t="shared" si="3"/>
        <v>457760</v>
      </c>
      <c r="J8" s="22">
        <f t="shared" si="4"/>
        <v>831040</v>
      </c>
      <c r="K8" s="22">
        <f t="shared" si="5"/>
        <v>88656</v>
      </c>
      <c r="L8" s="22">
        <f t="shared" si="6"/>
        <v>7388</v>
      </c>
      <c r="N8" s="1">
        <f>100000/12</f>
        <v>8333.3333333333339</v>
      </c>
    </row>
    <row r="9" spans="1:26" ht="15.75" customHeight="1">
      <c r="A9" s="21">
        <v>5</v>
      </c>
      <c r="B9" s="21" t="s">
        <v>71</v>
      </c>
      <c r="C9" s="21" t="s">
        <v>72</v>
      </c>
      <c r="D9" s="22">
        <v>40000</v>
      </c>
      <c r="E9" s="22">
        <f t="shared" si="7"/>
        <v>480000</v>
      </c>
      <c r="F9" s="22">
        <f t="shared" si="0"/>
        <v>38400</v>
      </c>
      <c r="G9" s="22">
        <f t="shared" si="1"/>
        <v>12000</v>
      </c>
      <c r="H9" s="22">
        <f t="shared" si="2"/>
        <v>429600</v>
      </c>
      <c r="I9" s="22">
        <f t="shared" si="3"/>
        <v>285920</v>
      </c>
      <c r="J9" s="22">
        <f t="shared" si="4"/>
        <v>143680</v>
      </c>
      <c r="K9" s="22">
        <f t="shared" si="5"/>
        <v>10057.6</v>
      </c>
      <c r="L9" s="22">
        <f t="shared" si="6"/>
        <v>838.13333333333333</v>
      </c>
    </row>
    <row r="10" spans="1:26" ht="15.75" customHeight="1">
      <c r="A10" s="21">
        <v>6</v>
      </c>
      <c r="B10" s="21" t="s">
        <v>77</v>
      </c>
      <c r="C10" s="21" t="s">
        <v>72</v>
      </c>
      <c r="D10" s="22">
        <v>150000</v>
      </c>
      <c r="E10" s="22">
        <f t="shared" si="7"/>
        <v>1800000</v>
      </c>
      <c r="F10" s="22">
        <f t="shared" si="0"/>
        <v>144000</v>
      </c>
      <c r="G10" s="22">
        <f t="shared" si="1"/>
        <v>45000</v>
      </c>
      <c r="H10" s="22">
        <f t="shared" si="2"/>
        <v>1611000</v>
      </c>
      <c r="I10" s="22">
        <f t="shared" si="3"/>
        <v>522200</v>
      </c>
      <c r="J10" s="22">
        <f t="shared" si="4"/>
        <v>1088800</v>
      </c>
      <c r="K10" s="22">
        <f t="shared" si="5"/>
        <v>127320</v>
      </c>
      <c r="L10" s="22">
        <f t="shared" si="6"/>
        <v>10610</v>
      </c>
    </row>
    <row r="11" spans="1:26" ht="15.75" customHeight="1">
      <c r="A11" s="21">
        <v>7</v>
      </c>
      <c r="B11" s="21" t="s">
        <v>79</v>
      </c>
      <c r="C11" s="21" t="s">
        <v>39</v>
      </c>
      <c r="D11" s="22">
        <v>160000</v>
      </c>
      <c r="E11" s="22">
        <f t="shared" si="7"/>
        <v>1920000</v>
      </c>
      <c r="F11" s="22">
        <f t="shared" si="0"/>
        <v>153600</v>
      </c>
      <c r="G11" s="22">
        <f t="shared" si="1"/>
        <v>48000</v>
      </c>
      <c r="H11" s="22">
        <f t="shared" si="2"/>
        <v>1718400</v>
      </c>
      <c r="I11" s="22">
        <f t="shared" si="3"/>
        <v>543680</v>
      </c>
      <c r="J11" s="22">
        <f t="shared" si="4"/>
        <v>1174720</v>
      </c>
      <c r="K11" s="22">
        <f t="shared" si="5"/>
        <v>143196.79999999999</v>
      </c>
      <c r="L11" s="22">
        <f t="shared" si="6"/>
        <v>11933.066666666666</v>
      </c>
    </row>
    <row r="12" spans="1:26" ht="15.75" customHeight="1">
      <c r="A12" s="21">
        <v>8</v>
      </c>
      <c r="B12" s="21" t="s">
        <v>83</v>
      </c>
      <c r="C12" s="21" t="s">
        <v>22</v>
      </c>
      <c r="D12" s="22">
        <v>40000</v>
      </c>
      <c r="E12" s="22">
        <f t="shared" si="7"/>
        <v>480000</v>
      </c>
      <c r="F12" s="22">
        <f t="shared" si="0"/>
        <v>38400</v>
      </c>
      <c r="G12" s="22">
        <f t="shared" si="1"/>
        <v>12000</v>
      </c>
      <c r="H12" s="22">
        <f t="shared" si="2"/>
        <v>429600</v>
      </c>
      <c r="I12" s="22">
        <f t="shared" si="3"/>
        <v>285920</v>
      </c>
      <c r="J12" s="22">
        <f t="shared" si="4"/>
        <v>143680</v>
      </c>
      <c r="K12" s="22">
        <f t="shared" si="5"/>
        <v>10057.6</v>
      </c>
      <c r="L12" s="22">
        <f t="shared" si="6"/>
        <v>838.13333333333333</v>
      </c>
    </row>
    <row r="13" spans="1:26" ht="15.75" customHeight="1">
      <c r="A13" s="21">
        <v>9</v>
      </c>
      <c r="B13" s="21" t="s">
        <v>85</v>
      </c>
      <c r="C13" s="21" t="s">
        <v>22</v>
      </c>
      <c r="D13" s="22">
        <v>185000</v>
      </c>
      <c r="E13" s="22">
        <f t="shared" si="7"/>
        <v>2220000</v>
      </c>
      <c r="F13" s="22">
        <f t="shared" si="0"/>
        <v>177600</v>
      </c>
      <c r="G13" s="22">
        <f t="shared" si="1"/>
        <v>55500</v>
      </c>
      <c r="H13" s="22">
        <f t="shared" si="2"/>
        <v>1986900</v>
      </c>
      <c r="I13" s="22">
        <f t="shared" si="3"/>
        <v>597380</v>
      </c>
      <c r="J13" s="22">
        <f t="shared" si="4"/>
        <v>1389520</v>
      </c>
      <c r="K13" s="22">
        <f t="shared" si="5"/>
        <v>184008.8</v>
      </c>
      <c r="L13" s="22">
        <f t="shared" si="6"/>
        <v>15334.066666666666</v>
      </c>
    </row>
    <row r="14" spans="1:26" ht="15.75" customHeight="1">
      <c r="A14" s="21">
        <v>10</v>
      </c>
      <c r="B14" s="21" t="s">
        <v>87</v>
      </c>
      <c r="C14" s="21" t="s">
        <v>88</v>
      </c>
      <c r="D14" s="22">
        <v>250000</v>
      </c>
      <c r="E14" s="22">
        <f t="shared" si="7"/>
        <v>3000000</v>
      </c>
      <c r="F14" s="22">
        <f t="shared" si="0"/>
        <v>240000</v>
      </c>
      <c r="G14" s="22">
        <f t="shared" si="1"/>
        <v>75000</v>
      </c>
      <c r="H14" s="22">
        <f t="shared" si="2"/>
        <v>2685000</v>
      </c>
      <c r="I14" s="22">
        <f t="shared" si="3"/>
        <v>737000</v>
      </c>
      <c r="J14" s="22">
        <f t="shared" si="4"/>
        <v>1948000</v>
      </c>
      <c r="K14" s="22">
        <f t="shared" si="5"/>
        <v>297080</v>
      </c>
      <c r="L14" s="22">
        <f t="shared" si="6"/>
        <v>24756.666666666668</v>
      </c>
    </row>
    <row r="15" spans="1:26" ht="15.75" customHeight="1">
      <c r="A15" s="21">
        <v>11</v>
      </c>
      <c r="B15" s="21" t="s">
        <v>89</v>
      </c>
      <c r="C15" s="21" t="s">
        <v>90</v>
      </c>
      <c r="D15" s="22">
        <v>50000</v>
      </c>
      <c r="E15" s="22">
        <f t="shared" si="7"/>
        <v>600000</v>
      </c>
      <c r="F15" s="22">
        <f t="shared" si="0"/>
        <v>48000</v>
      </c>
      <c r="G15" s="22">
        <f t="shared" si="1"/>
        <v>15000</v>
      </c>
      <c r="H15" s="22">
        <f t="shared" si="2"/>
        <v>537000</v>
      </c>
      <c r="I15" s="22">
        <f t="shared" si="3"/>
        <v>307400</v>
      </c>
      <c r="J15" s="22">
        <f t="shared" si="4"/>
        <v>229600</v>
      </c>
      <c r="K15" s="22">
        <f t="shared" si="5"/>
        <v>16072.000000000002</v>
      </c>
      <c r="L15" s="22">
        <f t="shared" si="6"/>
        <v>1339.3333333333335</v>
      </c>
    </row>
    <row r="16" spans="1:26" ht="15.75" customHeight="1">
      <c r="A16" s="21">
        <v>12</v>
      </c>
      <c r="B16" s="21" t="s">
        <v>93</v>
      </c>
      <c r="C16" s="21" t="s">
        <v>94</v>
      </c>
      <c r="D16" s="22">
        <v>47000</v>
      </c>
      <c r="E16" s="22">
        <f t="shared" si="7"/>
        <v>564000</v>
      </c>
      <c r="F16" s="22">
        <f t="shared" si="0"/>
        <v>45120</v>
      </c>
      <c r="G16" s="22">
        <f t="shared" si="1"/>
        <v>14100</v>
      </c>
      <c r="H16" s="22">
        <f t="shared" si="2"/>
        <v>504780</v>
      </c>
      <c r="I16" s="22">
        <f t="shared" si="3"/>
        <v>300956</v>
      </c>
      <c r="J16" s="22">
        <f t="shared" si="4"/>
        <v>203824</v>
      </c>
      <c r="K16" s="22">
        <f t="shared" si="5"/>
        <v>14267.680000000002</v>
      </c>
      <c r="L16" s="22">
        <f t="shared" si="6"/>
        <v>1188.9733333333336</v>
      </c>
    </row>
    <row r="17" spans="1:12" ht="15.75" customHeight="1">
      <c r="A17" s="21">
        <v>13</v>
      </c>
      <c r="B17" s="21" t="s">
        <v>96</v>
      </c>
      <c r="C17" s="21" t="s">
        <v>52</v>
      </c>
      <c r="D17" s="22">
        <v>49000</v>
      </c>
      <c r="E17" s="22">
        <f t="shared" si="7"/>
        <v>588000</v>
      </c>
      <c r="F17" s="22">
        <f t="shared" si="0"/>
        <v>47040</v>
      </c>
      <c r="G17" s="22">
        <f t="shared" si="1"/>
        <v>14700</v>
      </c>
      <c r="H17" s="22">
        <f t="shared" si="2"/>
        <v>526260</v>
      </c>
      <c r="I17" s="22">
        <f t="shared" si="3"/>
        <v>305252</v>
      </c>
      <c r="J17" s="22">
        <f t="shared" si="4"/>
        <v>221008</v>
      </c>
      <c r="K17" s="22">
        <f t="shared" si="5"/>
        <v>15470.560000000001</v>
      </c>
      <c r="L17" s="22">
        <f t="shared" si="6"/>
        <v>1289.2133333333334</v>
      </c>
    </row>
    <row r="18" spans="1:12" ht="15.75" customHeight="1">
      <c r="A18" s="21">
        <v>14</v>
      </c>
      <c r="B18" s="21" t="s">
        <v>98</v>
      </c>
      <c r="C18" s="21" t="s">
        <v>52</v>
      </c>
      <c r="D18" s="22">
        <v>52000</v>
      </c>
      <c r="E18" s="22">
        <f t="shared" si="7"/>
        <v>624000</v>
      </c>
      <c r="F18" s="22">
        <f t="shared" si="0"/>
        <v>49920</v>
      </c>
      <c r="G18" s="22">
        <f t="shared" si="1"/>
        <v>15600</v>
      </c>
      <c r="H18" s="22">
        <f t="shared" si="2"/>
        <v>558480</v>
      </c>
      <c r="I18" s="22">
        <f t="shared" si="3"/>
        <v>311696</v>
      </c>
      <c r="J18" s="22">
        <f t="shared" si="4"/>
        <v>246784</v>
      </c>
      <c r="K18" s="22">
        <f t="shared" si="5"/>
        <v>17274.88</v>
      </c>
      <c r="L18" s="22">
        <f t="shared" si="6"/>
        <v>1439.5733333333335</v>
      </c>
    </row>
    <row r="19" spans="1:12" ht="15.75" customHeight="1">
      <c r="A19" s="21">
        <v>15</v>
      </c>
      <c r="B19" s="21" t="s">
        <v>99</v>
      </c>
      <c r="C19" s="21" t="s">
        <v>52</v>
      </c>
      <c r="D19" s="22">
        <v>87000</v>
      </c>
      <c r="E19" s="22">
        <f t="shared" si="7"/>
        <v>1044000</v>
      </c>
      <c r="F19" s="22">
        <f t="shared" si="0"/>
        <v>83520</v>
      </c>
      <c r="G19" s="22">
        <f t="shared" si="1"/>
        <v>26100</v>
      </c>
      <c r="H19" s="22">
        <f t="shared" si="2"/>
        <v>934380</v>
      </c>
      <c r="I19" s="22">
        <f t="shared" si="3"/>
        <v>386876</v>
      </c>
      <c r="J19" s="22">
        <f t="shared" si="4"/>
        <v>547504</v>
      </c>
      <c r="K19" s="22">
        <f t="shared" si="5"/>
        <v>48225.440000000002</v>
      </c>
      <c r="L19" s="22">
        <f t="shared" si="6"/>
        <v>4018.7866666666669</v>
      </c>
    </row>
    <row r="20" spans="1:12" ht="15.75" customHeight="1">
      <c r="A20" s="21">
        <v>16</v>
      </c>
      <c r="B20" s="21" t="s">
        <v>101</v>
      </c>
      <c r="C20" s="21" t="s">
        <v>52</v>
      </c>
      <c r="D20" s="22">
        <v>62140</v>
      </c>
      <c r="E20" s="22">
        <f t="shared" si="7"/>
        <v>745680</v>
      </c>
      <c r="F20" s="22">
        <f t="shared" si="0"/>
        <v>59654.400000000001</v>
      </c>
      <c r="G20" s="22">
        <f t="shared" si="1"/>
        <v>18642</v>
      </c>
      <c r="H20" s="22">
        <f t="shared" si="2"/>
        <v>667383.6</v>
      </c>
      <c r="I20" s="22">
        <f t="shared" si="3"/>
        <v>333476.71999999997</v>
      </c>
      <c r="J20" s="22">
        <f t="shared" si="4"/>
        <v>333906.88</v>
      </c>
      <c r="K20" s="22">
        <f t="shared" si="5"/>
        <v>24729.756799999999</v>
      </c>
      <c r="L20" s="22">
        <f t="shared" si="6"/>
        <v>2060.8130666666666</v>
      </c>
    </row>
    <row r="21" spans="1:12" ht="15.75" customHeight="1">
      <c r="A21" s="21">
        <v>17</v>
      </c>
      <c r="B21" s="21" t="s">
        <v>102</v>
      </c>
      <c r="C21" s="21" t="s">
        <v>52</v>
      </c>
      <c r="D21" s="22">
        <v>62470</v>
      </c>
      <c r="E21" s="22">
        <f t="shared" si="7"/>
        <v>749640</v>
      </c>
      <c r="F21" s="22">
        <f t="shared" si="0"/>
        <v>59971.200000000004</v>
      </c>
      <c r="G21" s="22">
        <f t="shared" si="1"/>
        <v>18741</v>
      </c>
      <c r="H21" s="22">
        <f t="shared" si="2"/>
        <v>670927.80000000005</v>
      </c>
      <c r="I21" s="22">
        <f t="shared" si="3"/>
        <v>334185.56000000006</v>
      </c>
      <c r="J21" s="22">
        <f t="shared" si="4"/>
        <v>336742.24</v>
      </c>
      <c r="K21" s="22">
        <f t="shared" si="5"/>
        <v>25041.646399999998</v>
      </c>
      <c r="L21" s="22">
        <f t="shared" si="6"/>
        <v>2086.8038666666666</v>
      </c>
    </row>
    <row r="22" spans="1:12" ht="15.75" customHeight="1">
      <c r="A22" s="21">
        <v>18</v>
      </c>
      <c r="B22" s="21" t="s">
        <v>103</v>
      </c>
      <c r="C22" s="21" t="s">
        <v>52</v>
      </c>
      <c r="D22" s="22">
        <v>50123</v>
      </c>
      <c r="E22" s="22">
        <f t="shared" si="7"/>
        <v>601476</v>
      </c>
      <c r="F22" s="22">
        <f t="shared" si="0"/>
        <v>48118.080000000002</v>
      </c>
      <c r="G22" s="22">
        <f t="shared" si="1"/>
        <v>15036.900000000001</v>
      </c>
      <c r="H22" s="22">
        <f t="shared" si="2"/>
        <v>538321.02</v>
      </c>
      <c r="I22" s="22">
        <f t="shared" si="3"/>
        <v>307664.20400000003</v>
      </c>
      <c r="J22" s="22">
        <f t="shared" si="4"/>
        <v>230656.81599999999</v>
      </c>
      <c r="K22" s="22">
        <f t="shared" si="5"/>
        <v>16145.977120000001</v>
      </c>
      <c r="L22" s="22">
        <f t="shared" si="6"/>
        <v>1345.4980933333334</v>
      </c>
    </row>
    <row r="23" spans="1:12" ht="15.75" customHeight="1">
      <c r="A23" s="21">
        <v>19</v>
      </c>
      <c r="B23" s="21" t="s">
        <v>104</v>
      </c>
      <c r="C23" s="21" t="s">
        <v>52</v>
      </c>
      <c r="D23" s="22">
        <v>55670</v>
      </c>
      <c r="E23" s="22">
        <f t="shared" si="7"/>
        <v>668040</v>
      </c>
      <c r="F23" s="22">
        <f t="shared" si="0"/>
        <v>53443.200000000004</v>
      </c>
      <c r="G23" s="22">
        <f t="shared" si="1"/>
        <v>16701</v>
      </c>
      <c r="H23" s="22">
        <f t="shared" si="2"/>
        <v>597895.80000000005</v>
      </c>
      <c r="I23" s="22">
        <f t="shared" si="3"/>
        <v>319579.16000000003</v>
      </c>
      <c r="J23" s="22">
        <f t="shared" si="4"/>
        <v>278316.64</v>
      </c>
      <c r="K23" s="22">
        <f t="shared" si="5"/>
        <v>19482.164800000002</v>
      </c>
      <c r="L23" s="22">
        <f t="shared" si="6"/>
        <v>1623.5137333333334</v>
      </c>
    </row>
    <row r="24" spans="1:12" ht="15.75" customHeight="1">
      <c r="A24" s="21">
        <v>20</v>
      </c>
      <c r="B24" s="21" t="s">
        <v>106</v>
      </c>
      <c r="C24" s="21" t="s">
        <v>52</v>
      </c>
      <c r="D24" s="22">
        <v>88000</v>
      </c>
      <c r="E24" s="22">
        <f t="shared" si="7"/>
        <v>1056000</v>
      </c>
      <c r="F24" s="22">
        <f t="shared" si="0"/>
        <v>84480</v>
      </c>
      <c r="G24" s="22">
        <f t="shared" si="1"/>
        <v>26400</v>
      </c>
      <c r="H24" s="22">
        <f t="shared" si="2"/>
        <v>945120</v>
      </c>
      <c r="I24" s="22">
        <f t="shared" si="3"/>
        <v>389024</v>
      </c>
      <c r="J24" s="22">
        <f t="shared" si="4"/>
        <v>556096</v>
      </c>
      <c r="K24" s="22">
        <f t="shared" si="5"/>
        <v>49170.559999999998</v>
      </c>
      <c r="L24" s="22">
        <f t="shared" si="6"/>
        <v>4097.5466666666662</v>
      </c>
    </row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spans="10:10" ht="15.75" customHeight="1"/>
    <row r="1042" spans="10:10" ht="15.75" customHeight="1"/>
    <row r="1043" spans="10:10" ht="15.75" customHeight="1"/>
    <row r="1044" spans="10:10" ht="15.75" customHeight="1"/>
    <row r="1045" spans="10:10" ht="15.75" customHeight="1"/>
    <row r="1046" spans="10:10" ht="15.75" customHeight="1"/>
    <row r="1047" spans="10:10" ht="15.75" customHeight="1"/>
    <row r="1048" spans="10:10" ht="15.75" customHeight="1"/>
    <row r="1049" spans="10:10" ht="15.75" customHeight="1"/>
    <row r="1050" spans="10:10" ht="15.75" customHeight="1"/>
    <row r="1051" spans="10:10" ht="15.75" customHeight="1"/>
    <row r="1052" spans="10:10" ht="15.75" customHeight="1">
      <c r="J1052" s="1" t="s">
        <v>211</v>
      </c>
    </row>
  </sheetData>
  <mergeCells count="3">
    <mergeCell ref="A1:L1"/>
    <mergeCell ref="A2:L2"/>
    <mergeCell ref="A3:L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2.42578125" customWidth="1"/>
    <col min="2" max="2" width="12.5703125" customWidth="1"/>
    <col min="3" max="3" width="22.5703125" customWidth="1"/>
    <col min="4" max="4" width="12.5703125" customWidth="1"/>
    <col min="5" max="5" width="13" customWidth="1"/>
    <col min="6" max="6" width="20.7109375" customWidth="1"/>
    <col min="7" max="10" width="12.5703125" customWidth="1"/>
    <col min="11" max="11" width="14.140625" customWidth="1"/>
    <col min="12" max="16" width="12.5703125" customWidth="1"/>
    <col min="17" max="17" width="8.7109375" customWidth="1"/>
    <col min="18" max="18" width="17" customWidth="1"/>
    <col min="19" max="30" width="12.5703125" customWidth="1"/>
    <col min="31" max="31" width="13.42578125" customWidth="1"/>
    <col min="32" max="33" width="12.5703125" customWidth="1"/>
  </cols>
  <sheetData>
    <row r="1" spans="1:3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>
      <c r="A2" s="1"/>
      <c r="B2" s="212" t="s">
        <v>4</v>
      </c>
      <c r="C2" s="213"/>
      <c r="D2" s="214"/>
      <c r="E2" s="136"/>
      <c r="F2" s="137"/>
      <c r="G2" s="215" t="s">
        <v>7</v>
      </c>
      <c r="H2" s="213"/>
      <c r="I2" s="213"/>
      <c r="J2" s="213"/>
      <c r="K2" s="213"/>
      <c r="L2" s="216"/>
      <c r="M2" s="217" t="s">
        <v>20</v>
      </c>
      <c r="N2" s="213"/>
      <c r="O2" s="216"/>
      <c r="P2" s="137"/>
      <c r="Q2" s="137"/>
      <c r="R2" s="217" t="s">
        <v>25</v>
      </c>
      <c r="S2" s="213"/>
      <c r="T2" s="213"/>
      <c r="U2" s="213"/>
      <c r="V2" s="216"/>
      <c r="W2" s="218" t="s">
        <v>239</v>
      </c>
      <c r="X2" s="219"/>
      <c r="Y2" s="219"/>
      <c r="Z2" s="219"/>
      <c r="AA2" s="219"/>
      <c r="AB2" s="219"/>
      <c r="AC2" s="138"/>
      <c r="AD2" s="138"/>
      <c r="AE2" s="139"/>
      <c r="AF2" s="140"/>
      <c r="AG2" s="141"/>
    </row>
    <row r="3" spans="1:33" ht="15.75" customHeight="1">
      <c r="A3" s="1"/>
      <c r="B3" s="142"/>
      <c r="C3" s="143"/>
      <c r="D3" s="136"/>
      <c r="E3" s="144">
        <v>12</v>
      </c>
      <c r="F3" s="137"/>
      <c r="G3" s="42">
        <v>0.3</v>
      </c>
      <c r="H3" s="45">
        <v>0.3</v>
      </c>
      <c r="I3" s="47">
        <v>0.2</v>
      </c>
      <c r="J3" s="42">
        <v>0.1</v>
      </c>
      <c r="K3" s="47">
        <v>0.1</v>
      </c>
      <c r="L3" s="136"/>
      <c r="M3" s="50">
        <v>0.08</v>
      </c>
      <c r="N3" s="52">
        <v>0.05</v>
      </c>
      <c r="O3" s="53">
        <v>2.5000000000000001E-2</v>
      </c>
      <c r="P3" s="136"/>
      <c r="Q3" s="136"/>
      <c r="R3" s="136"/>
      <c r="S3" s="37">
        <v>12</v>
      </c>
      <c r="T3" s="136"/>
      <c r="U3" s="136"/>
      <c r="V3" s="143"/>
      <c r="W3" s="52">
        <v>0</v>
      </c>
      <c r="X3" s="52">
        <v>0.15</v>
      </c>
      <c r="Y3" s="55">
        <v>0.18</v>
      </c>
      <c r="Z3" s="52">
        <v>0.21</v>
      </c>
      <c r="AA3" s="52">
        <v>0.23</v>
      </c>
      <c r="AB3" s="52">
        <v>0.25</v>
      </c>
      <c r="AC3" s="57" t="s">
        <v>80</v>
      </c>
      <c r="AD3" s="57" t="s">
        <v>81</v>
      </c>
      <c r="AE3" s="26" t="s">
        <v>82</v>
      </c>
      <c r="AF3" s="59">
        <v>0.1</v>
      </c>
      <c r="AG3" s="95"/>
    </row>
    <row r="4" spans="1:33" ht="15.75" customHeight="1">
      <c r="A4" s="1"/>
      <c r="B4" s="142"/>
      <c r="C4" s="145"/>
      <c r="D4" s="136"/>
      <c r="E4" s="136"/>
      <c r="F4" s="146"/>
      <c r="G4" s="17"/>
      <c r="H4" s="64"/>
      <c r="I4" s="67"/>
      <c r="J4" s="68"/>
      <c r="K4" s="70"/>
      <c r="L4" s="136"/>
      <c r="M4" s="147"/>
      <c r="N4" s="143"/>
      <c r="O4" s="145"/>
      <c r="P4" s="136"/>
      <c r="Q4" s="136"/>
      <c r="R4" s="136"/>
      <c r="S4" s="147"/>
      <c r="T4" s="146"/>
      <c r="U4" s="137"/>
      <c r="V4" s="145"/>
      <c r="W4" s="87" t="s">
        <v>110</v>
      </c>
      <c r="X4" s="37" t="s">
        <v>111</v>
      </c>
      <c r="Y4" s="89" t="s">
        <v>254</v>
      </c>
      <c r="Z4" s="90" t="s">
        <v>111</v>
      </c>
      <c r="AA4" s="90" t="s">
        <v>113</v>
      </c>
      <c r="AB4" s="90" t="s">
        <v>113</v>
      </c>
      <c r="AC4" s="89"/>
      <c r="AD4" s="89"/>
      <c r="AE4" s="148"/>
      <c r="AF4" s="222" t="s">
        <v>258</v>
      </c>
      <c r="AG4" s="192"/>
    </row>
    <row r="5" spans="1:33" ht="15.75" customHeight="1">
      <c r="A5" s="1"/>
      <c r="B5" s="97" t="s">
        <v>29</v>
      </c>
      <c r="C5" s="98" t="s">
        <v>121</v>
      </c>
      <c r="D5" s="99" t="s">
        <v>122</v>
      </c>
      <c r="E5" s="99" t="s">
        <v>259</v>
      </c>
      <c r="F5" s="99" t="s">
        <v>260</v>
      </c>
      <c r="G5" s="101" t="s">
        <v>42</v>
      </c>
      <c r="H5" s="102" t="s">
        <v>43</v>
      </c>
      <c r="I5" s="103" t="s">
        <v>44</v>
      </c>
      <c r="J5" s="104" t="s">
        <v>45</v>
      </c>
      <c r="K5" s="105" t="s">
        <v>46</v>
      </c>
      <c r="L5" s="103" t="s">
        <v>129</v>
      </c>
      <c r="M5" s="102" t="s">
        <v>265</v>
      </c>
      <c r="N5" s="103" t="s">
        <v>131</v>
      </c>
      <c r="O5" s="104" t="s">
        <v>132</v>
      </c>
      <c r="P5" s="106" t="s">
        <v>133</v>
      </c>
      <c r="Q5" s="106" t="s">
        <v>266</v>
      </c>
      <c r="R5" s="149" t="s">
        <v>267</v>
      </c>
      <c r="S5" s="102" t="s">
        <v>135</v>
      </c>
      <c r="T5" s="102" t="s">
        <v>268</v>
      </c>
      <c r="U5" s="103" t="s">
        <v>269</v>
      </c>
      <c r="V5" s="104" t="s">
        <v>270</v>
      </c>
      <c r="W5" s="108">
        <v>800000</v>
      </c>
      <c r="X5" s="109">
        <v>2200000</v>
      </c>
      <c r="Y5" s="110">
        <v>9000000</v>
      </c>
      <c r="Z5" s="110">
        <v>13000000</v>
      </c>
      <c r="AA5" s="110">
        <v>25000000</v>
      </c>
      <c r="AB5" s="110">
        <v>50000000</v>
      </c>
      <c r="AC5" s="89"/>
      <c r="AD5" s="89"/>
      <c r="AE5" s="148"/>
      <c r="AF5" s="150" t="s">
        <v>275</v>
      </c>
      <c r="AG5" s="115"/>
    </row>
    <row r="6" spans="1:33" ht="15.75" customHeight="1">
      <c r="A6" s="151"/>
      <c r="B6" s="152">
        <v>1</v>
      </c>
      <c r="C6" s="153" t="s">
        <v>73</v>
      </c>
      <c r="D6" s="154" t="s">
        <v>75</v>
      </c>
      <c r="E6" s="155">
        <f t="shared" ref="E6:E54" si="0">$E$3*F6</f>
        <v>9000000</v>
      </c>
      <c r="F6" s="156">
        <v>750000</v>
      </c>
      <c r="G6" s="157">
        <f t="shared" ref="G6:G54" si="1">F6*$G$3</f>
        <v>225000</v>
      </c>
      <c r="H6" s="157">
        <f t="shared" ref="H6:H54" si="2">$H$3*F6</f>
        <v>225000</v>
      </c>
      <c r="I6" s="157">
        <f t="shared" ref="I6:I54" si="3">$I$3*F6</f>
        <v>150000</v>
      </c>
      <c r="J6" s="157">
        <f t="shared" ref="J6:J54" si="4">$J$3*F6</f>
        <v>75000</v>
      </c>
      <c r="K6" s="157">
        <f t="shared" ref="K6:K54" si="5">$K$3*F6</f>
        <v>75000</v>
      </c>
      <c r="L6" s="157">
        <f t="shared" ref="L6:L54" si="6">SUM(G6:K6)</f>
        <v>750000</v>
      </c>
      <c r="M6" s="120">
        <f>$M$3*L6</f>
        <v>60000</v>
      </c>
      <c r="N6" s="158"/>
      <c r="O6" s="154"/>
      <c r="P6" s="159"/>
      <c r="Q6" s="154"/>
      <c r="R6" s="159"/>
      <c r="S6" s="160">
        <f t="shared" ref="S6:S54" si="7">$S$3*(L6-M6-N6-O6)</f>
        <v>8280000</v>
      </c>
      <c r="T6" s="160">
        <v>1500000</v>
      </c>
      <c r="U6" s="157">
        <f t="shared" ref="U6:U54" si="8">IF(20%*T6&gt;500000,500000,(20%*T6))</f>
        <v>300000</v>
      </c>
      <c r="V6" s="161">
        <f t="shared" ref="V6:V54" si="9">S6-U6</f>
        <v>7980000</v>
      </c>
      <c r="W6" s="162">
        <f t="shared" ref="W6:W54" si="10">IF($V6&lt;$W$5,0,$W$5*$W$3)</f>
        <v>0</v>
      </c>
      <c r="X6" s="157">
        <f t="shared" ref="X6:X54" si="11">IF($V6-800000&gt;=$X$5,$X$3*$X$5,IF($V6-800000&lt;0,"-",$X$3*($V6-800000)))</f>
        <v>330000</v>
      </c>
      <c r="Y6" s="163">
        <f t="shared" ref="Y6:Y54" si="12">IF($V6-3000000&gt;=$Y$5,$Y$3*$Y$5,IF($V6-3000000&lt;0,"-",$Y$3*($V6-3000000)))</f>
        <v>896400</v>
      </c>
      <c r="Z6" s="163" t="str">
        <f t="shared" ref="Z6:Z54" si="13">IF($V6-12000000&gt;=$Z$5,$Z$3*$Z$5,IF($V6-12000000&lt;0,"-",$Z$3*($V6-12000000)))</f>
        <v>-</v>
      </c>
      <c r="AA6" s="163" t="str">
        <f t="shared" ref="AA6:AA54" si="14">IF($V6-25000000&gt;=$AA$5,$AA$3*$AA$5,IF($V6-25000000&lt;0,"-",$AA$3*($V6-25000000)))</f>
        <v>-</v>
      </c>
      <c r="AB6" s="163" t="str">
        <f t="shared" ref="AB6:AB54" si="15">IF($V6-25000000&gt;0,$AB$3*($V6-25000000),"-")</f>
        <v>-</v>
      </c>
      <c r="AC6" s="163">
        <f t="shared" ref="AC6:AC54" si="16">SUM(W6:AB6)</f>
        <v>1226400</v>
      </c>
      <c r="AD6" s="163">
        <f t="shared" ref="AD6:AD54" si="17">AC6/12</f>
        <v>102200</v>
      </c>
      <c r="AE6" s="164">
        <f t="shared" ref="AE6:AE54" si="18">L6-M6-N6-O6-AD6</f>
        <v>587800</v>
      </c>
      <c r="AF6" s="157">
        <f t="shared" ref="AF6:AF54" si="19">(G6+H6+I6)*$AF$3</f>
        <v>60000</v>
      </c>
      <c r="AG6" s="165"/>
    </row>
    <row r="7" spans="1:33" ht="15.75" customHeight="1">
      <c r="A7" s="1"/>
      <c r="B7" s="166">
        <v>2</v>
      </c>
      <c r="C7" s="118" t="s">
        <v>125</v>
      </c>
      <c r="D7" s="167" t="s">
        <v>127</v>
      </c>
      <c r="E7" s="168">
        <f t="shared" si="0"/>
        <v>3600000</v>
      </c>
      <c r="F7" s="169">
        <v>300000</v>
      </c>
      <c r="G7" s="120">
        <f t="shared" si="1"/>
        <v>90000</v>
      </c>
      <c r="H7" s="120">
        <f t="shared" si="2"/>
        <v>90000</v>
      </c>
      <c r="I7" s="120">
        <f t="shared" si="3"/>
        <v>60000</v>
      </c>
      <c r="J7" s="120">
        <f t="shared" si="4"/>
        <v>30000</v>
      </c>
      <c r="K7" s="120">
        <f t="shared" si="5"/>
        <v>30000</v>
      </c>
      <c r="L7" s="120">
        <f t="shared" si="6"/>
        <v>300000</v>
      </c>
      <c r="M7" s="120">
        <f t="shared" ref="M7:M54" si="20">$M$3*(G7+H7+I7)</f>
        <v>19200</v>
      </c>
      <c r="N7" s="170"/>
      <c r="O7" s="167"/>
      <c r="P7" s="122"/>
      <c r="Q7" s="167"/>
      <c r="R7" s="122"/>
      <c r="S7" s="124">
        <f t="shared" si="7"/>
        <v>3369600</v>
      </c>
      <c r="T7" s="124">
        <v>120000</v>
      </c>
      <c r="U7" s="120">
        <f t="shared" si="8"/>
        <v>24000</v>
      </c>
      <c r="V7" s="125">
        <f t="shared" si="9"/>
        <v>3345600</v>
      </c>
      <c r="W7" s="126">
        <f t="shared" si="10"/>
        <v>0</v>
      </c>
      <c r="X7" s="120">
        <f t="shared" si="11"/>
        <v>330000</v>
      </c>
      <c r="Y7" s="127">
        <f t="shared" si="12"/>
        <v>62208</v>
      </c>
      <c r="Z7" s="127" t="str">
        <f t="shared" si="13"/>
        <v>-</v>
      </c>
      <c r="AA7" s="127" t="str">
        <f t="shared" si="14"/>
        <v>-</v>
      </c>
      <c r="AB7" s="127" t="str">
        <f t="shared" si="15"/>
        <v>-</v>
      </c>
      <c r="AC7" s="127">
        <f t="shared" si="16"/>
        <v>392208</v>
      </c>
      <c r="AD7" s="127">
        <f t="shared" si="17"/>
        <v>32684</v>
      </c>
      <c r="AE7" s="171">
        <f t="shared" si="18"/>
        <v>248116</v>
      </c>
      <c r="AF7" s="120">
        <f t="shared" si="19"/>
        <v>24000</v>
      </c>
      <c r="AG7" s="132"/>
    </row>
    <row r="8" spans="1:33" ht="15.75" customHeight="1">
      <c r="A8" s="1"/>
      <c r="B8" s="166">
        <v>3</v>
      </c>
      <c r="C8" s="118" t="s">
        <v>145</v>
      </c>
      <c r="D8" s="167" t="s">
        <v>148</v>
      </c>
      <c r="E8" s="168">
        <f t="shared" si="0"/>
        <v>2080000</v>
      </c>
      <c r="F8" s="169">
        <v>173333.33333333334</v>
      </c>
      <c r="G8" s="120">
        <f t="shared" si="1"/>
        <v>52000</v>
      </c>
      <c r="H8" s="120">
        <f t="shared" si="2"/>
        <v>52000</v>
      </c>
      <c r="I8" s="120">
        <f t="shared" si="3"/>
        <v>34666.666666666672</v>
      </c>
      <c r="J8" s="120">
        <f t="shared" si="4"/>
        <v>17333.333333333336</v>
      </c>
      <c r="K8" s="120">
        <f t="shared" si="5"/>
        <v>17333.333333333336</v>
      </c>
      <c r="L8" s="120">
        <f t="shared" si="6"/>
        <v>173333.33333333337</v>
      </c>
      <c r="M8" s="120">
        <f t="shared" si="20"/>
        <v>11093.333333333336</v>
      </c>
      <c r="N8" s="170"/>
      <c r="O8" s="167"/>
      <c r="P8" s="122"/>
      <c r="Q8" s="170"/>
      <c r="R8" s="122"/>
      <c r="S8" s="124">
        <f t="shared" si="7"/>
        <v>1946880.0000000005</v>
      </c>
      <c r="T8" s="124">
        <v>2500000</v>
      </c>
      <c r="U8" s="120">
        <f t="shared" si="8"/>
        <v>500000</v>
      </c>
      <c r="V8" s="125">
        <f t="shared" si="9"/>
        <v>1446880.0000000005</v>
      </c>
      <c r="W8" s="126">
        <f t="shared" si="10"/>
        <v>0</v>
      </c>
      <c r="X8" s="120">
        <f t="shared" si="11"/>
        <v>97032.000000000073</v>
      </c>
      <c r="Y8" s="127" t="str">
        <f t="shared" si="12"/>
        <v>-</v>
      </c>
      <c r="Z8" s="127" t="str">
        <f t="shared" si="13"/>
        <v>-</v>
      </c>
      <c r="AA8" s="127" t="str">
        <f t="shared" si="14"/>
        <v>-</v>
      </c>
      <c r="AB8" s="127" t="str">
        <f t="shared" si="15"/>
        <v>-</v>
      </c>
      <c r="AC8" s="127">
        <f t="shared" si="16"/>
        <v>97032.000000000073</v>
      </c>
      <c r="AD8" s="127">
        <f t="shared" si="17"/>
        <v>8086.0000000000064</v>
      </c>
      <c r="AE8" s="171">
        <f t="shared" si="18"/>
        <v>154154.00000000003</v>
      </c>
      <c r="AF8" s="120">
        <f t="shared" si="19"/>
        <v>13866.66666666667</v>
      </c>
      <c r="AG8" s="132"/>
    </row>
    <row r="9" spans="1:33" ht="15.75" customHeight="1">
      <c r="A9" s="1"/>
      <c r="B9" s="166">
        <v>4</v>
      </c>
      <c r="C9" s="118" t="s">
        <v>154</v>
      </c>
      <c r="D9" s="167" t="s">
        <v>156</v>
      </c>
      <c r="E9" s="168">
        <f t="shared" si="0"/>
        <v>2160000</v>
      </c>
      <c r="F9" s="169">
        <v>180000</v>
      </c>
      <c r="G9" s="120">
        <f t="shared" si="1"/>
        <v>54000</v>
      </c>
      <c r="H9" s="120">
        <f t="shared" si="2"/>
        <v>54000</v>
      </c>
      <c r="I9" s="120">
        <f t="shared" si="3"/>
        <v>36000</v>
      </c>
      <c r="J9" s="120">
        <f t="shared" si="4"/>
        <v>18000</v>
      </c>
      <c r="K9" s="120">
        <f t="shared" si="5"/>
        <v>18000</v>
      </c>
      <c r="L9" s="120">
        <f t="shared" si="6"/>
        <v>180000</v>
      </c>
      <c r="M9" s="120">
        <f t="shared" si="20"/>
        <v>11520</v>
      </c>
      <c r="N9" s="167"/>
      <c r="O9" s="167"/>
      <c r="P9" s="122"/>
      <c r="Q9" s="170"/>
      <c r="R9" s="170"/>
      <c r="S9" s="124">
        <f t="shared" si="7"/>
        <v>2021760</v>
      </c>
      <c r="T9" s="124">
        <v>3500000</v>
      </c>
      <c r="U9" s="120">
        <f t="shared" si="8"/>
        <v>500000</v>
      </c>
      <c r="V9" s="125">
        <f t="shared" si="9"/>
        <v>1521760</v>
      </c>
      <c r="W9" s="126">
        <f t="shared" si="10"/>
        <v>0</v>
      </c>
      <c r="X9" s="120">
        <f t="shared" si="11"/>
        <v>108264</v>
      </c>
      <c r="Y9" s="127" t="str">
        <f t="shared" si="12"/>
        <v>-</v>
      </c>
      <c r="Z9" s="127" t="str">
        <f t="shared" si="13"/>
        <v>-</v>
      </c>
      <c r="AA9" s="127" t="str">
        <f t="shared" si="14"/>
        <v>-</v>
      </c>
      <c r="AB9" s="127" t="str">
        <f t="shared" si="15"/>
        <v>-</v>
      </c>
      <c r="AC9" s="127">
        <f t="shared" si="16"/>
        <v>108264</v>
      </c>
      <c r="AD9" s="127">
        <f t="shared" si="17"/>
        <v>9022</v>
      </c>
      <c r="AE9" s="171">
        <f t="shared" si="18"/>
        <v>159458</v>
      </c>
      <c r="AF9" s="120">
        <f t="shared" si="19"/>
        <v>14400</v>
      </c>
      <c r="AG9" s="132"/>
    </row>
    <row r="10" spans="1:33" ht="15.75" customHeight="1">
      <c r="A10" s="1"/>
      <c r="B10" s="166">
        <v>4</v>
      </c>
      <c r="C10" s="118" t="s">
        <v>162</v>
      </c>
      <c r="D10" s="167" t="s">
        <v>156</v>
      </c>
      <c r="E10" s="168">
        <f t="shared" si="0"/>
        <v>1800000</v>
      </c>
      <c r="F10" s="169">
        <v>150000</v>
      </c>
      <c r="G10" s="120">
        <f t="shared" si="1"/>
        <v>45000</v>
      </c>
      <c r="H10" s="120">
        <f t="shared" si="2"/>
        <v>45000</v>
      </c>
      <c r="I10" s="120">
        <f t="shared" si="3"/>
        <v>30000</v>
      </c>
      <c r="J10" s="120">
        <f t="shared" si="4"/>
        <v>15000</v>
      </c>
      <c r="K10" s="120">
        <f t="shared" si="5"/>
        <v>15000</v>
      </c>
      <c r="L10" s="120">
        <f t="shared" si="6"/>
        <v>150000</v>
      </c>
      <c r="M10" s="120">
        <f t="shared" si="20"/>
        <v>9600</v>
      </c>
      <c r="N10" s="167"/>
      <c r="O10" s="167"/>
      <c r="P10" s="122"/>
      <c r="Q10" s="170"/>
      <c r="R10" s="170"/>
      <c r="S10" s="124">
        <f t="shared" si="7"/>
        <v>1684800</v>
      </c>
      <c r="T10" s="124">
        <v>3500000</v>
      </c>
      <c r="U10" s="120">
        <f t="shared" si="8"/>
        <v>500000</v>
      </c>
      <c r="V10" s="125">
        <f t="shared" si="9"/>
        <v>1184800</v>
      </c>
      <c r="W10" s="126">
        <f t="shared" si="10"/>
        <v>0</v>
      </c>
      <c r="X10" s="120">
        <f t="shared" si="11"/>
        <v>57720</v>
      </c>
      <c r="Y10" s="127" t="str">
        <f t="shared" si="12"/>
        <v>-</v>
      </c>
      <c r="Z10" s="127" t="str">
        <f t="shared" si="13"/>
        <v>-</v>
      </c>
      <c r="AA10" s="127" t="str">
        <f t="shared" si="14"/>
        <v>-</v>
      </c>
      <c r="AB10" s="127" t="str">
        <f t="shared" si="15"/>
        <v>-</v>
      </c>
      <c r="AC10" s="127">
        <f t="shared" si="16"/>
        <v>57720</v>
      </c>
      <c r="AD10" s="127">
        <f t="shared" si="17"/>
        <v>4810</v>
      </c>
      <c r="AE10" s="171">
        <f t="shared" si="18"/>
        <v>135590</v>
      </c>
      <c r="AF10" s="120">
        <f t="shared" si="19"/>
        <v>12000</v>
      </c>
      <c r="AG10" s="132"/>
    </row>
    <row r="11" spans="1:33" ht="15.75" customHeight="1">
      <c r="A11" s="1"/>
      <c r="B11" s="166">
        <v>4</v>
      </c>
      <c r="C11" s="118" t="s">
        <v>168</v>
      </c>
      <c r="D11" s="167" t="s">
        <v>156</v>
      </c>
      <c r="E11" s="168">
        <f t="shared" si="0"/>
        <v>1860000</v>
      </c>
      <c r="F11" s="169">
        <v>155000</v>
      </c>
      <c r="G11" s="120">
        <f t="shared" si="1"/>
        <v>46500</v>
      </c>
      <c r="H11" s="120">
        <f t="shared" si="2"/>
        <v>46500</v>
      </c>
      <c r="I11" s="120">
        <f t="shared" si="3"/>
        <v>31000</v>
      </c>
      <c r="J11" s="120">
        <f t="shared" si="4"/>
        <v>15500</v>
      </c>
      <c r="K11" s="120">
        <f t="shared" si="5"/>
        <v>15500</v>
      </c>
      <c r="L11" s="120">
        <f t="shared" si="6"/>
        <v>155000</v>
      </c>
      <c r="M11" s="120">
        <f t="shared" si="20"/>
        <v>9920</v>
      </c>
      <c r="N11" s="167"/>
      <c r="O11" s="167"/>
      <c r="P11" s="122"/>
      <c r="Q11" s="170"/>
      <c r="R11" s="170"/>
      <c r="S11" s="124">
        <f t="shared" si="7"/>
        <v>1740960</v>
      </c>
      <c r="T11" s="124">
        <v>3500000</v>
      </c>
      <c r="U11" s="120">
        <f t="shared" si="8"/>
        <v>500000</v>
      </c>
      <c r="V11" s="125">
        <f t="shared" si="9"/>
        <v>1240960</v>
      </c>
      <c r="W11" s="126">
        <f t="shared" si="10"/>
        <v>0</v>
      </c>
      <c r="X11" s="120">
        <f t="shared" si="11"/>
        <v>66144</v>
      </c>
      <c r="Y11" s="127" t="str">
        <f t="shared" si="12"/>
        <v>-</v>
      </c>
      <c r="Z11" s="127" t="str">
        <f t="shared" si="13"/>
        <v>-</v>
      </c>
      <c r="AA11" s="127" t="str">
        <f t="shared" si="14"/>
        <v>-</v>
      </c>
      <c r="AB11" s="127" t="str">
        <f t="shared" si="15"/>
        <v>-</v>
      </c>
      <c r="AC11" s="127">
        <f t="shared" si="16"/>
        <v>66144</v>
      </c>
      <c r="AD11" s="127">
        <f t="shared" si="17"/>
        <v>5512</v>
      </c>
      <c r="AE11" s="171">
        <f t="shared" si="18"/>
        <v>139568</v>
      </c>
      <c r="AF11" s="120">
        <f t="shared" si="19"/>
        <v>12400</v>
      </c>
      <c r="AG11" s="132"/>
    </row>
    <row r="12" spans="1:33" ht="15.75" customHeight="1">
      <c r="A12" s="1"/>
      <c r="B12" s="166">
        <v>4</v>
      </c>
      <c r="C12" s="118" t="s">
        <v>174</v>
      </c>
      <c r="D12" s="167" t="s">
        <v>156</v>
      </c>
      <c r="E12" s="168">
        <f t="shared" si="0"/>
        <v>24000000</v>
      </c>
      <c r="F12" s="169">
        <v>2000000</v>
      </c>
      <c r="G12" s="120">
        <f t="shared" si="1"/>
        <v>600000</v>
      </c>
      <c r="H12" s="120">
        <f t="shared" si="2"/>
        <v>600000</v>
      </c>
      <c r="I12" s="120">
        <f t="shared" si="3"/>
        <v>400000</v>
      </c>
      <c r="J12" s="120">
        <f t="shared" si="4"/>
        <v>200000</v>
      </c>
      <c r="K12" s="120">
        <f t="shared" si="5"/>
        <v>200000</v>
      </c>
      <c r="L12" s="120">
        <f t="shared" si="6"/>
        <v>2000000</v>
      </c>
      <c r="M12" s="120">
        <f t="shared" si="20"/>
        <v>128000</v>
      </c>
      <c r="N12" s="167"/>
      <c r="O12" s="167"/>
      <c r="P12" s="122"/>
      <c r="Q12" s="170"/>
      <c r="R12" s="170"/>
      <c r="S12" s="124">
        <f t="shared" si="7"/>
        <v>22464000</v>
      </c>
      <c r="T12" s="124">
        <v>3500000</v>
      </c>
      <c r="U12" s="120">
        <f t="shared" si="8"/>
        <v>500000</v>
      </c>
      <c r="V12" s="125">
        <f t="shared" si="9"/>
        <v>21964000</v>
      </c>
      <c r="W12" s="126">
        <f t="shared" si="10"/>
        <v>0</v>
      </c>
      <c r="X12" s="120">
        <f t="shared" si="11"/>
        <v>330000</v>
      </c>
      <c r="Y12" s="127">
        <f t="shared" si="12"/>
        <v>1620000</v>
      </c>
      <c r="Z12" s="127">
        <f t="shared" si="13"/>
        <v>2092440</v>
      </c>
      <c r="AA12" s="127" t="str">
        <f t="shared" si="14"/>
        <v>-</v>
      </c>
      <c r="AB12" s="127" t="str">
        <f t="shared" si="15"/>
        <v>-</v>
      </c>
      <c r="AC12" s="127">
        <f t="shared" si="16"/>
        <v>4042440</v>
      </c>
      <c r="AD12" s="127">
        <f t="shared" si="17"/>
        <v>336870</v>
      </c>
      <c r="AE12" s="171">
        <f t="shared" si="18"/>
        <v>1535130</v>
      </c>
      <c r="AF12" s="120">
        <f t="shared" si="19"/>
        <v>160000</v>
      </c>
      <c r="AG12" s="132"/>
    </row>
    <row r="13" spans="1:33" ht="15.75" customHeight="1">
      <c r="A13" s="1"/>
      <c r="B13" s="166">
        <v>4</v>
      </c>
      <c r="C13" s="118" t="s">
        <v>181</v>
      </c>
      <c r="D13" s="167" t="s">
        <v>156</v>
      </c>
      <c r="E13" s="168">
        <f t="shared" si="0"/>
        <v>24000000</v>
      </c>
      <c r="F13" s="169">
        <v>2000000</v>
      </c>
      <c r="G13" s="120">
        <f t="shared" si="1"/>
        <v>600000</v>
      </c>
      <c r="H13" s="120">
        <f t="shared" si="2"/>
        <v>600000</v>
      </c>
      <c r="I13" s="120">
        <f t="shared" si="3"/>
        <v>400000</v>
      </c>
      <c r="J13" s="120">
        <f t="shared" si="4"/>
        <v>200000</v>
      </c>
      <c r="K13" s="120">
        <f t="shared" si="5"/>
        <v>200000</v>
      </c>
      <c r="L13" s="120">
        <f t="shared" si="6"/>
        <v>2000000</v>
      </c>
      <c r="M13" s="120">
        <f t="shared" si="20"/>
        <v>128000</v>
      </c>
      <c r="N13" s="167"/>
      <c r="O13" s="167"/>
      <c r="P13" s="122"/>
      <c r="Q13" s="170"/>
      <c r="R13" s="170"/>
      <c r="S13" s="124">
        <f t="shared" si="7"/>
        <v>22464000</v>
      </c>
      <c r="T13" s="124">
        <v>3500000</v>
      </c>
      <c r="U13" s="120">
        <f t="shared" si="8"/>
        <v>500000</v>
      </c>
      <c r="V13" s="125">
        <f t="shared" si="9"/>
        <v>21964000</v>
      </c>
      <c r="W13" s="126">
        <f t="shared" si="10"/>
        <v>0</v>
      </c>
      <c r="X13" s="120">
        <f t="shared" si="11"/>
        <v>330000</v>
      </c>
      <c r="Y13" s="127">
        <f t="shared" si="12"/>
        <v>1620000</v>
      </c>
      <c r="Z13" s="127">
        <f t="shared" si="13"/>
        <v>2092440</v>
      </c>
      <c r="AA13" s="127" t="str">
        <f t="shared" si="14"/>
        <v>-</v>
      </c>
      <c r="AB13" s="127" t="str">
        <f t="shared" si="15"/>
        <v>-</v>
      </c>
      <c r="AC13" s="127">
        <f t="shared" si="16"/>
        <v>4042440</v>
      </c>
      <c r="AD13" s="127">
        <f t="shared" si="17"/>
        <v>336870</v>
      </c>
      <c r="AE13" s="171">
        <f t="shared" si="18"/>
        <v>1535130</v>
      </c>
      <c r="AF13" s="120">
        <f t="shared" si="19"/>
        <v>160000</v>
      </c>
      <c r="AG13" s="132"/>
    </row>
    <row r="14" spans="1:33" ht="15.75" customHeight="1">
      <c r="A14" s="1"/>
      <c r="B14" s="166">
        <v>4</v>
      </c>
      <c r="C14" s="118" t="s">
        <v>186</v>
      </c>
      <c r="D14" s="167" t="s">
        <v>156</v>
      </c>
      <c r="E14" s="168">
        <f t="shared" si="0"/>
        <v>24000000</v>
      </c>
      <c r="F14" s="169">
        <v>2000000</v>
      </c>
      <c r="G14" s="120">
        <f t="shared" si="1"/>
        <v>600000</v>
      </c>
      <c r="H14" s="120">
        <f t="shared" si="2"/>
        <v>600000</v>
      </c>
      <c r="I14" s="120">
        <f t="shared" si="3"/>
        <v>400000</v>
      </c>
      <c r="J14" s="120">
        <f t="shared" si="4"/>
        <v>200000</v>
      </c>
      <c r="K14" s="120">
        <f t="shared" si="5"/>
        <v>200000</v>
      </c>
      <c r="L14" s="120">
        <f t="shared" si="6"/>
        <v>2000000</v>
      </c>
      <c r="M14" s="120">
        <f t="shared" si="20"/>
        <v>128000</v>
      </c>
      <c r="N14" s="167"/>
      <c r="O14" s="167"/>
      <c r="P14" s="122"/>
      <c r="Q14" s="170"/>
      <c r="R14" s="170"/>
      <c r="S14" s="124">
        <f t="shared" si="7"/>
        <v>22464000</v>
      </c>
      <c r="T14" s="124">
        <v>3500000</v>
      </c>
      <c r="U14" s="120">
        <f t="shared" si="8"/>
        <v>500000</v>
      </c>
      <c r="V14" s="125">
        <f t="shared" si="9"/>
        <v>21964000</v>
      </c>
      <c r="W14" s="126">
        <f t="shared" si="10"/>
        <v>0</v>
      </c>
      <c r="X14" s="120">
        <f t="shared" si="11"/>
        <v>330000</v>
      </c>
      <c r="Y14" s="127">
        <f t="shared" si="12"/>
        <v>1620000</v>
      </c>
      <c r="Z14" s="127">
        <f t="shared" si="13"/>
        <v>2092440</v>
      </c>
      <c r="AA14" s="127" t="str">
        <f t="shared" si="14"/>
        <v>-</v>
      </c>
      <c r="AB14" s="127" t="str">
        <f t="shared" si="15"/>
        <v>-</v>
      </c>
      <c r="AC14" s="127">
        <f t="shared" si="16"/>
        <v>4042440</v>
      </c>
      <c r="AD14" s="127">
        <f t="shared" si="17"/>
        <v>336870</v>
      </c>
      <c r="AE14" s="171">
        <f t="shared" si="18"/>
        <v>1535130</v>
      </c>
      <c r="AF14" s="120">
        <f t="shared" si="19"/>
        <v>160000</v>
      </c>
      <c r="AG14" s="132"/>
    </row>
    <row r="15" spans="1:33" ht="15.75" customHeight="1">
      <c r="B15" s="166">
        <v>4</v>
      </c>
      <c r="C15" s="118" t="s">
        <v>190</v>
      </c>
      <c r="D15" s="167" t="s">
        <v>156</v>
      </c>
      <c r="E15" s="168">
        <f t="shared" si="0"/>
        <v>24000000</v>
      </c>
      <c r="F15" s="169">
        <v>2000000</v>
      </c>
      <c r="G15" s="120">
        <f t="shared" si="1"/>
        <v>600000</v>
      </c>
      <c r="H15" s="120">
        <f t="shared" si="2"/>
        <v>600000</v>
      </c>
      <c r="I15" s="120">
        <f t="shared" si="3"/>
        <v>400000</v>
      </c>
      <c r="J15" s="120">
        <f t="shared" si="4"/>
        <v>200000</v>
      </c>
      <c r="K15" s="120">
        <f t="shared" si="5"/>
        <v>200000</v>
      </c>
      <c r="L15" s="120">
        <f t="shared" si="6"/>
        <v>2000000</v>
      </c>
      <c r="M15" s="120">
        <f t="shared" si="20"/>
        <v>128000</v>
      </c>
      <c r="N15" s="167"/>
      <c r="O15" s="167"/>
      <c r="P15" s="122"/>
      <c r="Q15" s="170"/>
      <c r="R15" s="170"/>
      <c r="S15" s="124">
        <f t="shared" si="7"/>
        <v>22464000</v>
      </c>
      <c r="T15" s="124">
        <v>3500000</v>
      </c>
      <c r="U15" s="120">
        <f t="shared" si="8"/>
        <v>500000</v>
      </c>
      <c r="V15" s="125">
        <f t="shared" si="9"/>
        <v>21964000</v>
      </c>
      <c r="W15" s="126">
        <f t="shared" si="10"/>
        <v>0</v>
      </c>
      <c r="X15" s="120">
        <f t="shared" si="11"/>
        <v>330000</v>
      </c>
      <c r="Y15" s="127">
        <f t="shared" si="12"/>
        <v>1620000</v>
      </c>
      <c r="Z15" s="127">
        <f t="shared" si="13"/>
        <v>2092440</v>
      </c>
      <c r="AA15" s="127" t="str">
        <f t="shared" si="14"/>
        <v>-</v>
      </c>
      <c r="AB15" s="127" t="str">
        <f t="shared" si="15"/>
        <v>-</v>
      </c>
      <c r="AC15" s="127">
        <f t="shared" si="16"/>
        <v>4042440</v>
      </c>
      <c r="AD15" s="127">
        <f t="shared" si="17"/>
        <v>336870</v>
      </c>
      <c r="AE15" s="171">
        <f t="shared" si="18"/>
        <v>1535130</v>
      </c>
      <c r="AF15" s="120">
        <f t="shared" si="19"/>
        <v>160000</v>
      </c>
      <c r="AG15" s="132"/>
    </row>
    <row r="16" spans="1:33" ht="15.75" customHeight="1">
      <c r="B16" s="166">
        <v>4</v>
      </c>
      <c r="C16" s="118" t="s">
        <v>196</v>
      </c>
      <c r="D16" s="167" t="s">
        <v>156</v>
      </c>
      <c r="E16" s="168">
        <f t="shared" si="0"/>
        <v>24000000</v>
      </c>
      <c r="F16" s="169">
        <v>2000000</v>
      </c>
      <c r="G16" s="120">
        <f t="shared" si="1"/>
        <v>600000</v>
      </c>
      <c r="H16" s="120">
        <f t="shared" si="2"/>
        <v>600000</v>
      </c>
      <c r="I16" s="120">
        <f t="shared" si="3"/>
        <v>400000</v>
      </c>
      <c r="J16" s="120">
        <f t="shared" si="4"/>
        <v>200000</v>
      </c>
      <c r="K16" s="120">
        <f t="shared" si="5"/>
        <v>200000</v>
      </c>
      <c r="L16" s="120">
        <f t="shared" si="6"/>
        <v>2000000</v>
      </c>
      <c r="M16" s="120">
        <f t="shared" si="20"/>
        <v>128000</v>
      </c>
      <c r="N16" s="167"/>
      <c r="O16" s="167"/>
      <c r="P16" s="122"/>
      <c r="Q16" s="170"/>
      <c r="R16" s="170"/>
      <c r="S16" s="124">
        <f t="shared" si="7"/>
        <v>22464000</v>
      </c>
      <c r="T16" s="124">
        <v>3500000</v>
      </c>
      <c r="U16" s="120">
        <f t="shared" si="8"/>
        <v>500000</v>
      </c>
      <c r="V16" s="125">
        <f t="shared" si="9"/>
        <v>21964000</v>
      </c>
      <c r="W16" s="126">
        <f t="shared" si="10"/>
        <v>0</v>
      </c>
      <c r="X16" s="120">
        <f t="shared" si="11"/>
        <v>330000</v>
      </c>
      <c r="Y16" s="127">
        <f t="shared" si="12"/>
        <v>1620000</v>
      </c>
      <c r="Z16" s="127">
        <f t="shared" si="13"/>
        <v>2092440</v>
      </c>
      <c r="AA16" s="127" t="str">
        <f t="shared" si="14"/>
        <v>-</v>
      </c>
      <c r="AB16" s="127" t="str">
        <f t="shared" si="15"/>
        <v>-</v>
      </c>
      <c r="AC16" s="127">
        <f t="shared" si="16"/>
        <v>4042440</v>
      </c>
      <c r="AD16" s="127">
        <f t="shared" si="17"/>
        <v>336870</v>
      </c>
      <c r="AE16" s="171">
        <f t="shared" si="18"/>
        <v>1535130</v>
      </c>
      <c r="AF16" s="120">
        <f t="shared" si="19"/>
        <v>160000</v>
      </c>
      <c r="AG16" s="132"/>
    </row>
    <row r="17" spans="2:33" ht="15.75" customHeight="1">
      <c r="B17" s="166">
        <v>4</v>
      </c>
      <c r="C17" s="118" t="s">
        <v>201</v>
      </c>
      <c r="D17" s="167" t="s">
        <v>156</v>
      </c>
      <c r="E17" s="168">
        <f t="shared" si="0"/>
        <v>24000000</v>
      </c>
      <c r="F17" s="169">
        <v>2000000</v>
      </c>
      <c r="G17" s="120">
        <f t="shared" si="1"/>
        <v>600000</v>
      </c>
      <c r="H17" s="120">
        <f t="shared" si="2"/>
        <v>600000</v>
      </c>
      <c r="I17" s="120">
        <f t="shared" si="3"/>
        <v>400000</v>
      </c>
      <c r="J17" s="120">
        <f t="shared" si="4"/>
        <v>200000</v>
      </c>
      <c r="K17" s="120">
        <f t="shared" si="5"/>
        <v>200000</v>
      </c>
      <c r="L17" s="120">
        <f t="shared" si="6"/>
        <v>2000000</v>
      </c>
      <c r="M17" s="120">
        <f t="shared" si="20"/>
        <v>128000</v>
      </c>
      <c r="N17" s="167"/>
      <c r="O17" s="167"/>
      <c r="P17" s="122"/>
      <c r="Q17" s="170"/>
      <c r="R17" s="170"/>
      <c r="S17" s="124">
        <f t="shared" si="7"/>
        <v>22464000</v>
      </c>
      <c r="T17" s="124">
        <v>3500000</v>
      </c>
      <c r="U17" s="120">
        <f t="shared" si="8"/>
        <v>500000</v>
      </c>
      <c r="V17" s="125">
        <f t="shared" si="9"/>
        <v>21964000</v>
      </c>
      <c r="W17" s="126">
        <f t="shared" si="10"/>
        <v>0</v>
      </c>
      <c r="X17" s="120">
        <f t="shared" si="11"/>
        <v>330000</v>
      </c>
      <c r="Y17" s="127">
        <f t="shared" si="12"/>
        <v>1620000</v>
      </c>
      <c r="Z17" s="127">
        <f t="shared" si="13"/>
        <v>2092440</v>
      </c>
      <c r="AA17" s="127" t="str">
        <f t="shared" si="14"/>
        <v>-</v>
      </c>
      <c r="AB17" s="127" t="str">
        <f t="shared" si="15"/>
        <v>-</v>
      </c>
      <c r="AC17" s="127">
        <f t="shared" si="16"/>
        <v>4042440</v>
      </c>
      <c r="AD17" s="127">
        <f t="shared" si="17"/>
        <v>336870</v>
      </c>
      <c r="AE17" s="171">
        <f t="shared" si="18"/>
        <v>1535130</v>
      </c>
      <c r="AF17" s="120">
        <f t="shared" si="19"/>
        <v>160000</v>
      </c>
      <c r="AG17" s="132"/>
    </row>
    <row r="18" spans="2:33" ht="15.75" customHeight="1">
      <c r="B18" s="166">
        <v>4</v>
      </c>
      <c r="C18" s="118" t="s">
        <v>205</v>
      </c>
      <c r="D18" s="167" t="s">
        <v>156</v>
      </c>
      <c r="E18" s="168">
        <f t="shared" si="0"/>
        <v>24000000</v>
      </c>
      <c r="F18" s="169">
        <v>2000000</v>
      </c>
      <c r="G18" s="120">
        <f t="shared" si="1"/>
        <v>600000</v>
      </c>
      <c r="H18" s="120">
        <f t="shared" si="2"/>
        <v>600000</v>
      </c>
      <c r="I18" s="120">
        <f t="shared" si="3"/>
        <v>400000</v>
      </c>
      <c r="J18" s="120">
        <f t="shared" si="4"/>
        <v>200000</v>
      </c>
      <c r="K18" s="120">
        <f t="shared" si="5"/>
        <v>200000</v>
      </c>
      <c r="L18" s="120">
        <f t="shared" si="6"/>
        <v>2000000</v>
      </c>
      <c r="M18" s="120">
        <f t="shared" si="20"/>
        <v>128000</v>
      </c>
      <c r="N18" s="167"/>
      <c r="O18" s="167"/>
      <c r="P18" s="122"/>
      <c r="Q18" s="170"/>
      <c r="R18" s="170"/>
      <c r="S18" s="124">
        <f t="shared" si="7"/>
        <v>22464000</v>
      </c>
      <c r="T18" s="124">
        <v>3500000</v>
      </c>
      <c r="U18" s="120">
        <f t="shared" si="8"/>
        <v>500000</v>
      </c>
      <c r="V18" s="125">
        <f t="shared" si="9"/>
        <v>21964000</v>
      </c>
      <c r="W18" s="126">
        <f t="shared" si="10"/>
        <v>0</v>
      </c>
      <c r="X18" s="120">
        <f t="shared" si="11"/>
        <v>330000</v>
      </c>
      <c r="Y18" s="127">
        <f t="shared" si="12"/>
        <v>1620000</v>
      </c>
      <c r="Z18" s="127">
        <f t="shared" si="13"/>
        <v>2092440</v>
      </c>
      <c r="AA18" s="127" t="str">
        <f t="shared" si="14"/>
        <v>-</v>
      </c>
      <c r="AB18" s="127" t="str">
        <f t="shared" si="15"/>
        <v>-</v>
      </c>
      <c r="AC18" s="127">
        <f t="shared" si="16"/>
        <v>4042440</v>
      </c>
      <c r="AD18" s="127">
        <f t="shared" si="17"/>
        <v>336870</v>
      </c>
      <c r="AE18" s="171">
        <f t="shared" si="18"/>
        <v>1535130</v>
      </c>
      <c r="AF18" s="120">
        <f t="shared" si="19"/>
        <v>160000</v>
      </c>
      <c r="AG18" s="132"/>
    </row>
    <row r="19" spans="2:33" ht="15.75" customHeight="1">
      <c r="B19" s="166">
        <v>4</v>
      </c>
      <c r="C19" s="118" t="s">
        <v>208</v>
      </c>
      <c r="D19" s="167" t="s">
        <v>156</v>
      </c>
      <c r="E19" s="168">
        <f t="shared" si="0"/>
        <v>24000000</v>
      </c>
      <c r="F19" s="169">
        <v>2000000</v>
      </c>
      <c r="G19" s="120">
        <f t="shared" si="1"/>
        <v>600000</v>
      </c>
      <c r="H19" s="120">
        <f t="shared" si="2"/>
        <v>600000</v>
      </c>
      <c r="I19" s="120">
        <f t="shared" si="3"/>
        <v>400000</v>
      </c>
      <c r="J19" s="120">
        <f t="shared" si="4"/>
        <v>200000</v>
      </c>
      <c r="K19" s="120">
        <f t="shared" si="5"/>
        <v>200000</v>
      </c>
      <c r="L19" s="120">
        <f t="shared" si="6"/>
        <v>2000000</v>
      </c>
      <c r="M19" s="120">
        <f t="shared" si="20"/>
        <v>128000</v>
      </c>
      <c r="N19" s="167"/>
      <c r="O19" s="167"/>
      <c r="P19" s="122"/>
      <c r="Q19" s="170"/>
      <c r="R19" s="170"/>
      <c r="S19" s="124">
        <f t="shared" si="7"/>
        <v>22464000</v>
      </c>
      <c r="T19" s="124">
        <v>3500000</v>
      </c>
      <c r="U19" s="120">
        <f t="shared" si="8"/>
        <v>500000</v>
      </c>
      <c r="V19" s="125">
        <f t="shared" si="9"/>
        <v>21964000</v>
      </c>
      <c r="W19" s="126">
        <f t="shared" si="10"/>
        <v>0</v>
      </c>
      <c r="X19" s="120">
        <f t="shared" si="11"/>
        <v>330000</v>
      </c>
      <c r="Y19" s="127">
        <f t="shared" si="12"/>
        <v>1620000</v>
      </c>
      <c r="Z19" s="127">
        <f t="shared" si="13"/>
        <v>2092440</v>
      </c>
      <c r="AA19" s="127" t="str">
        <f t="shared" si="14"/>
        <v>-</v>
      </c>
      <c r="AB19" s="127" t="str">
        <f t="shared" si="15"/>
        <v>-</v>
      </c>
      <c r="AC19" s="127">
        <f t="shared" si="16"/>
        <v>4042440</v>
      </c>
      <c r="AD19" s="127">
        <f t="shared" si="17"/>
        <v>336870</v>
      </c>
      <c r="AE19" s="171">
        <f t="shared" si="18"/>
        <v>1535130</v>
      </c>
      <c r="AF19" s="120">
        <f t="shared" si="19"/>
        <v>160000</v>
      </c>
      <c r="AG19" s="132"/>
    </row>
    <row r="20" spans="2:33" ht="15.75" customHeight="1">
      <c r="B20" s="166">
        <v>4</v>
      </c>
      <c r="C20" s="118" t="s">
        <v>213</v>
      </c>
      <c r="D20" s="167" t="s">
        <v>156</v>
      </c>
      <c r="E20" s="168">
        <f t="shared" si="0"/>
        <v>24000000</v>
      </c>
      <c r="F20" s="169">
        <v>2000000</v>
      </c>
      <c r="G20" s="120">
        <f t="shared" si="1"/>
        <v>600000</v>
      </c>
      <c r="H20" s="120">
        <f t="shared" si="2"/>
        <v>600000</v>
      </c>
      <c r="I20" s="120">
        <f t="shared" si="3"/>
        <v>400000</v>
      </c>
      <c r="J20" s="120">
        <f t="shared" si="4"/>
        <v>200000</v>
      </c>
      <c r="K20" s="120">
        <f t="shared" si="5"/>
        <v>200000</v>
      </c>
      <c r="L20" s="120">
        <f t="shared" si="6"/>
        <v>2000000</v>
      </c>
      <c r="M20" s="120">
        <f t="shared" si="20"/>
        <v>128000</v>
      </c>
      <c r="N20" s="167"/>
      <c r="O20" s="167"/>
      <c r="P20" s="122"/>
      <c r="Q20" s="170"/>
      <c r="R20" s="170"/>
      <c r="S20" s="124">
        <f t="shared" si="7"/>
        <v>22464000</v>
      </c>
      <c r="T20" s="124">
        <v>3500000</v>
      </c>
      <c r="U20" s="120">
        <f t="shared" si="8"/>
        <v>500000</v>
      </c>
      <c r="V20" s="125">
        <f t="shared" si="9"/>
        <v>21964000</v>
      </c>
      <c r="W20" s="126">
        <f t="shared" si="10"/>
        <v>0</v>
      </c>
      <c r="X20" s="120">
        <f t="shared" si="11"/>
        <v>330000</v>
      </c>
      <c r="Y20" s="127">
        <f t="shared" si="12"/>
        <v>1620000</v>
      </c>
      <c r="Z20" s="127">
        <f t="shared" si="13"/>
        <v>2092440</v>
      </c>
      <c r="AA20" s="127" t="str">
        <f t="shared" si="14"/>
        <v>-</v>
      </c>
      <c r="AB20" s="127" t="str">
        <f t="shared" si="15"/>
        <v>-</v>
      </c>
      <c r="AC20" s="127">
        <f t="shared" si="16"/>
        <v>4042440</v>
      </c>
      <c r="AD20" s="127">
        <f t="shared" si="17"/>
        <v>336870</v>
      </c>
      <c r="AE20" s="171">
        <f t="shared" si="18"/>
        <v>1535130</v>
      </c>
      <c r="AF20" s="120">
        <f t="shared" si="19"/>
        <v>160000</v>
      </c>
      <c r="AG20" s="132"/>
    </row>
    <row r="21" spans="2:33" ht="15.75" customHeight="1">
      <c r="B21" s="166">
        <v>4</v>
      </c>
      <c r="C21" s="118" t="s">
        <v>218</v>
      </c>
      <c r="D21" s="167" t="s">
        <v>156</v>
      </c>
      <c r="E21" s="168">
        <f t="shared" si="0"/>
        <v>24000000</v>
      </c>
      <c r="F21" s="169">
        <v>2000000</v>
      </c>
      <c r="G21" s="120">
        <f t="shared" si="1"/>
        <v>600000</v>
      </c>
      <c r="H21" s="120">
        <f t="shared" si="2"/>
        <v>600000</v>
      </c>
      <c r="I21" s="120">
        <f t="shared" si="3"/>
        <v>400000</v>
      </c>
      <c r="J21" s="120">
        <f t="shared" si="4"/>
        <v>200000</v>
      </c>
      <c r="K21" s="120">
        <f t="shared" si="5"/>
        <v>200000</v>
      </c>
      <c r="L21" s="120">
        <f t="shared" si="6"/>
        <v>2000000</v>
      </c>
      <c r="M21" s="120">
        <f t="shared" si="20"/>
        <v>128000</v>
      </c>
      <c r="N21" s="167"/>
      <c r="O21" s="167"/>
      <c r="P21" s="122"/>
      <c r="Q21" s="170"/>
      <c r="R21" s="170"/>
      <c r="S21" s="124">
        <f t="shared" si="7"/>
        <v>22464000</v>
      </c>
      <c r="T21" s="124">
        <v>3500000</v>
      </c>
      <c r="U21" s="120">
        <f t="shared" si="8"/>
        <v>500000</v>
      </c>
      <c r="V21" s="125">
        <f t="shared" si="9"/>
        <v>21964000</v>
      </c>
      <c r="W21" s="126">
        <f t="shared" si="10"/>
        <v>0</v>
      </c>
      <c r="X21" s="120">
        <f t="shared" si="11"/>
        <v>330000</v>
      </c>
      <c r="Y21" s="127">
        <f t="shared" si="12"/>
        <v>1620000</v>
      </c>
      <c r="Z21" s="127">
        <f t="shared" si="13"/>
        <v>2092440</v>
      </c>
      <c r="AA21" s="127" t="str">
        <f t="shared" si="14"/>
        <v>-</v>
      </c>
      <c r="AB21" s="127" t="str">
        <f t="shared" si="15"/>
        <v>-</v>
      </c>
      <c r="AC21" s="127">
        <f t="shared" si="16"/>
        <v>4042440</v>
      </c>
      <c r="AD21" s="127">
        <f t="shared" si="17"/>
        <v>336870</v>
      </c>
      <c r="AE21" s="171">
        <f t="shared" si="18"/>
        <v>1535130</v>
      </c>
      <c r="AF21" s="120">
        <f t="shared" si="19"/>
        <v>160000</v>
      </c>
      <c r="AG21" s="132"/>
    </row>
    <row r="22" spans="2:33" ht="15.75" customHeight="1">
      <c r="B22" s="166">
        <v>4</v>
      </c>
      <c r="C22" s="118" t="s">
        <v>222</v>
      </c>
      <c r="D22" s="167" t="s">
        <v>156</v>
      </c>
      <c r="E22" s="168">
        <f t="shared" si="0"/>
        <v>24000000</v>
      </c>
      <c r="F22" s="169">
        <v>2000000</v>
      </c>
      <c r="G22" s="120">
        <f t="shared" si="1"/>
        <v>600000</v>
      </c>
      <c r="H22" s="120">
        <f t="shared" si="2"/>
        <v>600000</v>
      </c>
      <c r="I22" s="120">
        <f t="shared" si="3"/>
        <v>400000</v>
      </c>
      <c r="J22" s="120">
        <f t="shared" si="4"/>
        <v>200000</v>
      </c>
      <c r="K22" s="120">
        <f t="shared" si="5"/>
        <v>200000</v>
      </c>
      <c r="L22" s="120">
        <f t="shared" si="6"/>
        <v>2000000</v>
      </c>
      <c r="M22" s="120">
        <f t="shared" si="20"/>
        <v>128000</v>
      </c>
      <c r="N22" s="167"/>
      <c r="O22" s="167"/>
      <c r="P22" s="122"/>
      <c r="Q22" s="170"/>
      <c r="R22" s="170"/>
      <c r="S22" s="124">
        <f t="shared" si="7"/>
        <v>22464000</v>
      </c>
      <c r="T22" s="124">
        <v>3500000</v>
      </c>
      <c r="U22" s="120">
        <f t="shared" si="8"/>
        <v>500000</v>
      </c>
      <c r="V22" s="125">
        <f t="shared" si="9"/>
        <v>21964000</v>
      </c>
      <c r="W22" s="126">
        <f t="shared" si="10"/>
        <v>0</v>
      </c>
      <c r="X22" s="120">
        <f t="shared" si="11"/>
        <v>330000</v>
      </c>
      <c r="Y22" s="127">
        <f t="shared" si="12"/>
        <v>1620000</v>
      </c>
      <c r="Z22" s="127">
        <f t="shared" si="13"/>
        <v>2092440</v>
      </c>
      <c r="AA22" s="127" t="str">
        <f t="shared" si="14"/>
        <v>-</v>
      </c>
      <c r="AB22" s="127" t="str">
        <f t="shared" si="15"/>
        <v>-</v>
      </c>
      <c r="AC22" s="127">
        <f t="shared" si="16"/>
        <v>4042440</v>
      </c>
      <c r="AD22" s="127">
        <f t="shared" si="17"/>
        <v>336870</v>
      </c>
      <c r="AE22" s="171">
        <f t="shared" si="18"/>
        <v>1535130</v>
      </c>
      <c r="AF22" s="120">
        <f t="shared" si="19"/>
        <v>160000</v>
      </c>
      <c r="AG22" s="132"/>
    </row>
    <row r="23" spans="2:33" ht="15.75" customHeight="1">
      <c r="B23" s="166">
        <v>4</v>
      </c>
      <c r="C23" s="118" t="s">
        <v>226</v>
      </c>
      <c r="D23" s="167" t="s">
        <v>156</v>
      </c>
      <c r="E23" s="168">
        <f t="shared" si="0"/>
        <v>24000000</v>
      </c>
      <c r="F23" s="169">
        <v>2000000</v>
      </c>
      <c r="G23" s="120">
        <f t="shared" si="1"/>
        <v>600000</v>
      </c>
      <c r="H23" s="120">
        <f t="shared" si="2"/>
        <v>600000</v>
      </c>
      <c r="I23" s="120">
        <f t="shared" si="3"/>
        <v>400000</v>
      </c>
      <c r="J23" s="120">
        <f t="shared" si="4"/>
        <v>200000</v>
      </c>
      <c r="K23" s="120">
        <f t="shared" si="5"/>
        <v>200000</v>
      </c>
      <c r="L23" s="120">
        <f t="shared" si="6"/>
        <v>2000000</v>
      </c>
      <c r="M23" s="120">
        <f t="shared" si="20"/>
        <v>128000</v>
      </c>
      <c r="N23" s="167"/>
      <c r="O23" s="167"/>
      <c r="P23" s="122"/>
      <c r="Q23" s="170"/>
      <c r="R23" s="170"/>
      <c r="S23" s="124">
        <f t="shared" si="7"/>
        <v>22464000</v>
      </c>
      <c r="T23" s="124">
        <v>3500000</v>
      </c>
      <c r="U23" s="120">
        <f t="shared" si="8"/>
        <v>500000</v>
      </c>
      <c r="V23" s="125">
        <f t="shared" si="9"/>
        <v>21964000</v>
      </c>
      <c r="W23" s="126">
        <f t="shared" si="10"/>
        <v>0</v>
      </c>
      <c r="X23" s="120">
        <f t="shared" si="11"/>
        <v>330000</v>
      </c>
      <c r="Y23" s="127">
        <f t="shared" si="12"/>
        <v>1620000</v>
      </c>
      <c r="Z23" s="127">
        <f t="shared" si="13"/>
        <v>2092440</v>
      </c>
      <c r="AA23" s="127" t="str">
        <f t="shared" si="14"/>
        <v>-</v>
      </c>
      <c r="AB23" s="127" t="str">
        <f t="shared" si="15"/>
        <v>-</v>
      </c>
      <c r="AC23" s="127">
        <f t="shared" si="16"/>
        <v>4042440</v>
      </c>
      <c r="AD23" s="127">
        <f t="shared" si="17"/>
        <v>336870</v>
      </c>
      <c r="AE23" s="171">
        <f t="shared" si="18"/>
        <v>1535130</v>
      </c>
      <c r="AF23" s="120">
        <f t="shared" si="19"/>
        <v>160000</v>
      </c>
      <c r="AG23" s="132"/>
    </row>
    <row r="24" spans="2:33" ht="15.75" customHeight="1">
      <c r="B24" s="166">
        <v>4</v>
      </c>
      <c r="C24" s="118" t="s">
        <v>231</v>
      </c>
      <c r="D24" s="167" t="s">
        <v>156</v>
      </c>
      <c r="E24" s="168">
        <f t="shared" si="0"/>
        <v>24000000</v>
      </c>
      <c r="F24" s="169">
        <v>2000000</v>
      </c>
      <c r="G24" s="120">
        <f t="shared" si="1"/>
        <v>600000</v>
      </c>
      <c r="H24" s="120">
        <f t="shared" si="2"/>
        <v>600000</v>
      </c>
      <c r="I24" s="120">
        <f t="shared" si="3"/>
        <v>400000</v>
      </c>
      <c r="J24" s="120">
        <f t="shared" si="4"/>
        <v>200000</v>
      </c>
      <c r="K24" s="120">
        <f t="shared" si="5"/>
        <v>200000</v>
      </c>
      <c r="L24" s="120">
        <f t="shared" si="6"/>
        <v>2000000</v>
      </c>
      <c r="M24" s="120">
        <f t="shared" si="20"/>
        <v>128000</v>
      </c>
      <c r="N24" s="167"/>
      <c r="O24" s="167"/>
      <c r="P24" s="122"/>
      <c r="Q24" s="170"/>
      <c r="R24" s="170"/>
      <c r="S24" s="124">
        <f t="shared" si="7"/>
        <v>22464000</v>
      </c>
      <c r="T24" s="124">
        <v>3500000</v>
      </c>
      <c r="U24" s="120">
        <f t="shared" si="8"/>
        <v>500000</v>
      </c>
      <c r="V24" s="125">
        <f t="shared" si="9"/>
        <v>21964000</v>
      </c>
      <c r="W24" s="126">
        <f t="shared" si="10"/>
        <v>0</v>
      </c>
      <c r="X24" s="120">
        <f t="shared" si="11"/>
        <v>330000</v>
      </c>
      <c r="Y24" s="127">
        <f t="shared" si="12"/>
        <v>1620000</v>
      </c>
      <c r="Z24" s="127">
        <f t="shared" si="13"/>
        <v>2092440</v>
      </c>
      <c r="AA24" s="127" t="str">
        <f t="shared" si="14"/>
        <v>-</v>
      </c>
      <c r="AB24" s="127" t="str">
        <f t="shared" si="15"/>
        <v>-</v>
      </c>
      <c r="AC24" s="127">
        <f t="shared" si="16"/>
        <v>4042440</v>
      </c>
      <c r="AD24" s="127">
        <f t="shared" si="17"/>
        <v>336870</v>
      </c>
      <c r="AE24" s="171">
        <f t="shared" si="18"/>
        <v>1535130</v>
      </c>
      <c r="AF24" s="120">
        <f t="shared" si="19"/>
        <v>160000</v>
      </c>
      <c r="AG24" s="132"/>
    </row>
    <row r="25" spans="2:33" ht="15.75" customHeight="1">
      <c r="B25" s="166">
        <v>4</v>
      </c>
      <c r="C25" s="118" t="s">
        <v>236</v>
      </c>
      <c r="D25" s="167" t="s">
        <v>156</v>
      </c>
      <c r="E25" s="168">
        <f t="shared" si="0"/>
        <v>24000000</v>
      </c>
      <c r="F25" s="169">
        <v>2000000</v>
      </c>
      <c r="G25" s="120">
        <f t="shared" si="1"/>
        <v>600000</v>
      </c>
      <c r="H25" s="120">
        <f t="shared" si="2"/>
        <v>600000</v>
      </c>
      <c r="I25" s="120">
        <f t="shared" si="3"/>
        <v>400000</v>
      </c>
      <c r="J25" s="120">
        <f t="shared" si="4"/>
        <v>200000</v>
      </c>
      <c r="K25" s="120">
        <f t="shared" si="5"/>
        <v>200000</v>
      </c>
      <c r="L25" s="120">
        <f t="shared" si="6"/>
        <v>2000000</v>
      </c>
      <c r="M25" s="120">
        <f t="shared" si="20"/>
        <v>128000</v>
      </c>
      <c r="N25" s="167"/>
      <c r="O25" s="167"/>
      <c r="P25" s="122"/>
      <c r="Q25" s="170"/>
      <c r="R25" s="170"/>
      <c r="S25" s="124">
        <f t="shared" si="7"/>
        <v>22464000</v>
      </c>
      <c r="T25" s="124">
        <v>3500000</v>
      </c>
      <c r="U25" s="120">
        <f t="shared" si="8"/>
        <v>500000</v>
      </c>
      <c r="V25" s="125">
        <f t="shared" si="9"/>
        <v>21964000</v>
      </c>
      <c r="W25" s="126">
        <f t="shared" si="10"/>
        <v>0</v>
      </c>
      <c r="X25" s="120">
        <f t="shared" si="11"/>
        <v>330000</v>
      </c>
      <c r="Y25" s="127">
        <f t="shared" si="12"/>
        <v>1620000</v>
      </c>
      <c r="Z25" s="127">
        <f t="shared" si="13"/>
        <v>2092440</v>
      </c>
      <c r="AA25" s="127" t="str">
        <f t="shared" si="14"/>
        <v>-</v>
      </c>
      <c r="AB25" s="127" t="str">
        <f t="shared" si="15"/>
        <v>-</v>
      </c>
      <c r="AC25" s="127">
        <f t="shared" si="16"/>
        <v>4042440</v>
      </c>
      <c r="AD25" s="127">
        <f t="shared" si="17"/>
        <v>336870</v>
      </c>
      <c r="AE25" s="171">
        <f t="shared" si="18"/>
        <v>1535130</v>
      </c>
      <c r="AF25" s="120">
        <f t="shared" si="19"/>
        <v>160000</v>
      </c>
      <c r="AG25" s="132"/>
    </row>
    <row r="26" spans="2:33" ht="15.75" customHeight="1">
      <c r="B26" s="166">
        <v>4</v>
      </c>
      <c r="C26" s="118" t="s">
        <v>241</v>
      </c>
      <c r="D26" s="167" t="s">
        <v>156</v>
      </c>
      <c r="E26" s="168">
        <f t="shared" si="0"/>
        <v>24000000</v>
      </c>
      <c r="F26" s="169">
        <v>2000000</v>
      </c>
      <c r="G26" s="120">
        <f t="shared" si="1"/>
        <v>600000</v>
      </c>
      <c r="H26" s="120">
        <f t="shared" si="2"/>
        <v>600000</v>
      </c>
      <c r="I26" s="120">
        <f t="shared" si="3"/>
        <v>400000</v>
      </c>
      <c r="J26" s="120">
        <f t="shared" si="4"/>
        <v>200000</v>
      </c>
      <c r="K26" s="120">
        <f t="shared" si="5"/>
        <v>200000</v>
      </c>
      <c r="L26" s="120">
        <f t="shared" si="6"/>
        <v>2000000</v>
      </c>
      <c r="M26" s="120">
        <f t="shared" si="20"/>
        <v>128000</v>
      </c>
      <c r="N26" s="167"/>
      <c r="O26" s="167"/>
      <c r="P26" s="122"/>
      <c r="Q26" s="170"/>
      <c r="R26" s="170"/>
      <c r="S26" s="124">
        <f t="shared" si="7"/>
        <v>22464000</v>
      </c>
      <c r="T26" s="124">
        <v>3500000</v>
      </c>
      <c r="U26" s="120">
        <f t="shared" si="8"/>
        <v>500000</v>
      </c>
      <c r="V26" s="125">
        <f t="shared" si="9"/>
        <v>21964000</v>
      </c>
      <c r="W26" s="126">
        <f t="shared" si="10"/>
        <v>0</v>
      </c>
      <c r="X26" s="120">
        <f t="shared" si="11"/>
        <v>330000</v>
      </c>
      <c r="Y26" s="127">
        <f t="shared" si="12"/>
        <v>1620000</v>
      </c>
      <c r="Z26" s="127">
        <f t="shared" si="13"/>
        <v>2092440</v>
      </c>
      <c r="AA26" s="127" t="str">
        <f t="shared" si="14"/>
        <v>-</v>
      </c>
      <c r="AB26" s="127" t="str">
        <f t="shared" si="15"/>
        <v>-</v>
      </c>
      <c r="AC26" s="127">
        <f t="shared" si="16"/>
        <v>4042440</v>
      </c>
      <c r="AD26" s="127">
        <f t="shared" si="17"/>
        <v>336870</v>
      </c>
      <c r="AE26" s="171">
        <f t="shared" si="18"/>
        <v>1535130</v>
      </c>
      <c r="AF26" s="120">
        <f t="shared" si="19"/>
        <v>160000</v>
      </c>
      <c r="AG26" s="132"/>
    </row>
    <row r="27" spans="2:33" ht="15.75" customHeight="1">
      <c r="B27" s="166">
        <v>4</v>
      </c>
      <c r="C27" s="118" t="s">
        <v>246</v>
      </c>
      <c r="D27" s="167" t="s">
        <v>156</v>
      </c>
      <c r="E27" s="168">
        <f t="shared" si="0"/>
        <v>24000000</v>
      </c>
      <c r="F27" s="169">
        <v>2000000</v>
      </c>
      <c r="G27" s="120">
        <f t="shared" si="1"/>
        <v>600000</v>
      </c>
      <c r="H27" s="120">
        <f t="shared" si="2"/>
        <v>600000</v>
      </c>
      <c r="I27" s="120">
        <f t="shared" si="3"/>
        <v>400000</v>
      </c>
      <c r="J27" s="120">
        <f t="shared" si="4"/>
        <v>200000</v>
      </c>
      <c r="K27" s="120">
        <f t="shared" si="5"/>
        <v>200000</v>
      </c>
      <c r="L27" s="120">
        <f t="shared" si="6"/>
        <v>2000000</v>
      </c>
      <c r="M27" s="120">
        <f t="shared" si="20"/>
        <v>128000</v>
      </c>
      <c r="N27" s="167"/>
      <c r="O27" s="167"/>
      <c r="P27" s="122"/>
      <c r="Q27" s="170"/>
      <c r="R27" s="170"/>
      <c r="S27" s="124">
        <f t="shared" si="7"/>
        <v>22464000</v>
      </c>
      <c r="T27" s="124">
        <v>3500000</v>
      </c>
      <c r="U27" s="120">
        <f t="shared" si="8"/>
        <v>500000</v>
      </c>
      <c r="V27" s="125">
        <f t="shared" si="9"/>
        <v>21964000</v>
      </c>
      <c r="W27" s="126">
        <f t="shared" si="10"/>
        <v>0</v>
      </c>
      <c r="X27" s="120">
        <f t="shared" si="11"/>
        <v>330000</v>
      </c>
      <c r="Y27" s="127">
        <f t="shared" si="12"/>
        <v>1620000</v>
      </c>
      <c r="Z27" s="127">
        <f t="shared" si="13"/>
        <v>2092440</v>
      </c>
      <c r="AA27" s="127" t="str">
        <f t="shared" si="14"/>
        <v>-</v>
      </c>
      <c r="AB27" s="127" t="str">
        <f t="shared" si="15"/>
        <v>-</v>
      </c>
      <c r="AC27" s="127">
        <f t="shared" si="16"/>
        <v>4042440</v>
      </c>
      <c r="AD27" s="127">
        <f t="shared" si="17"/>
        <v>336870</v>
      </c>
      <c r="AE27" s="171">
        <f t="shared" si="18"/>
        <v>1535130</v>
      </c>
      <c r="AF27" s="120">
        <f t="shared" si="19"/>
        <v>160000</v>
      </c>
      <c r="AG27" s="132"/>
    </row>
    <row r="28" spans="2:33" ht="15.75" customHeight="1">
      <c r="B28" s="166">
        <v>4</v>
      </c>
      <c r="C28" s="118" t="s">
        <v>251</v>
      </c>
      <c r="D28" s="167" t="s">
        <v>156</v>
      </c>
      <c r="E28" s="168">
        <f t="shared" si="0"/>
        <v>24000000</v>
      </c>
      <c r="F28" s="169">
        <v>2000000</v>
      </c>
      <c r="G28" s="120">
        <f t="shared" si="1"/>
        <v>600000</v>
      </c>
      <c r="H28" s="120">
        <f t="shared" si="2"/>
        <v>600000</v>
      </c>
      <c r="I28" s="120">
        <f t="shared" si="3"/>
        <v>400000</v>
      </c>
      <c r="J28" s="120">
        <f t="shared" si="4"/>
        <v>200000</v>
      </c>
      <c r="K28" s="120">
        <f t="shared" si="5"/>
        <v>200000</v>
      </c>
      <c r="L28" s="120">
        <f t="shared" si="6"/>
        <v>2000000</v>
      </c>
      <c r="M28" s="120">
        <f t="shared" si="20"/>
        <v>128000</v>
      </c>
      <c r="N28" s="167"/>
      <c r="O28" s="167"/>
      <c r="P28" s="122"/>
      <c r="Q28" s="170"/>
      <c r="R28" s="170"/>
      <c r="S28" s="124">
        <f t="shared" si="7"/>
        <v>22464000</v>
      </c>
      <c r="T28" s="124">
        <v>3500000</v>
      </c>
      <c r="U28" s="120">
        <f t="shared" si="8"/>
        <v>500000</v>
      </c>
      <c r="V28" s="125">
        <f t="shared" si="9"/>
        <v>21964000</v>
      </c>
      <c r="W28" s="126">
        <f t="shared" si="10"/>
        <v>0</v>
      </c>
      <c r="X28" s="120">
        <f t="shared" si="11"/>
        <v>330000</v>
      </c>
      <c r="Y28" s="127">
        <f t="shared" si="12"/>
        <v>1620000</v>
      </c>
      <c r="Z28" s="127">
        <f t="shared" si="13"/>
        <v>2092440</v>
      </c>
      <c r="AA28" s="127" t="str">
        <f t="shared" si="14"/>
        <v>-</v>
      </c>
      <c r="AB28" s="127" t="str">
        <f t="shared" si="15"/>
        <v>-</v>
      </c>
      <c r="AC28" s="127">
        <f t="shared" si="16"/>
        <v>4042440</v>
      </c>
      <c r="AD28" s="127">
        <f t="shared" si="17"/>
        <v>336870</v>
      </c>
      <c r="AE28" s="171">
        <f t="shared" si="18"/>
        <v>1535130</v>
      </c>
      <c r="AF28" s="120">
        <f t="shared" si="19"/>
        <v>160000</v>
      </c>
      <c r="AG28" s="132"/>
    </row>
    <row r="29" spans="2:33" ht="15.75" customHeight="1">
      <c r="B29" s="166">
        <v>4</v>
      </c>
      <c r="C29" s="118" t="s">
        <v>256</v>
      </c>
      <c r="D29" s="167" t="s">
        <v>156</v>
      </c>
      <c r="E29" s="168">
        <f t="shared" si="0"/>
        <v>24000000</v>
      </c>
      <c r="F29" s="169">
        <v>2000000</v>
      </c>
      <c r="G29" s="120">
        <f t="shared" si="1"/>
        <v>600000</v>
      </c>
      <c r="H29" s="120">
        <f t="shared" si="2"/>
        <v>600000</v>
      </c>
      <c r="I29" s="120">
        <f t="shared" si="3"/>
        <v>400000</v>
      </c>
      <c r="J29" s="120">
        <f t="shared" si="4"/>
        <v>200000</v>
      </c>
      <c r="K29" s="120">
        <f t="shared" si="5"/>
        <v>200000</v>
      </c>
      <c r="L29" s="120">
        <f t="shared" si="6"/>
        <v>2000000</v>
      </c>
      <c r="M29" s="120">
        <f t="shared" si="20"/>
        <v>128000</v>
      </c>
      <c r="N29" s="167"/>
      <c r="O29" s="167"/>
      <c r="P29" s="122"/>
      <c r="Q29" s="170"/>
      <c r="R29" s="170"/>
      <c r="S29" s="124">
        <f t="shared" si="7"/>
        <v>22464000</v>
      </c>
      <c r="T29" s="124">
        <v>3500000</v>
      </c>
      <c r="U29" s="120">
        <f t="shared" si="8"/>
        <v>500000</v>
      </c>
      <c r="V29" s="125">
        <f t="shared" si="9"/>
        <v>21964000</v>
      </c>
      <c r="W29" s="126">
        <f t="shared" si="10"/>
        <v>0</v>
      </c>
      <c r="X29" s="120">
        <f t="shared" si="11"/>
        <v>330000</v>
      </c>
      <c r="Y29" s="127">
        <f t="shared" si="12"/>
        <v>1620000</v>
      </c>
      <c r="Z29" s="127">
        <f t="shared" si="13"/>
        <v>2092440</v>
      </c>
      <c r="AA29" s="127" t="str">
        <f t="shared" si="14"/>
        <v>-</v>
      </c>
      <c r="AB29" s="127" t="str">
        <f t="shared" si="15"/>
        <v>-</v>
      </c>
      <c r="AC29" s="127">
        <f t="shared" si="16"/>
        <v>4042440</v>
      </c>
      <c r="AD29" s="127">
        <f t="shared" si="17"/>
        <v>336870</v>
      </c>
      <c r="AE29" s="171">
        <f t="shared" si="18"/>
        <v>1535130</v>
      </c>
      <c r="AF29" s="120">
        <f t="shared" si="19"/>
        <v>160000</v>
      </c>
      <c r="AG29" s="132"/>
    </row>
    <row r="30" spans="2:33" ht="15.75" customHeight="1">
      <c r="B30" s="166">
        <v>4</v>
      </c>
      <c r="C30" s="118" t="s">
        <v>262</v>
      </c>
      <c r="D30" s="167" t="s">
        <v>156</v>
      </c>
      <c r="E30" s="168">
        <f t="shared" si="0"/>
        <v>24000000</v>
      </c>
      <c r="F30" s="169">
        <v>2000000</v>
      </c>
      <c r="G30" s="120">
        <f t="shared" si="1"/>
        <v>600000</v>
      </c>
      <c r="H30" s="120">
        <f t="shared" si="2"/>
        <v>600000</v>
      </c>
      <c r="I30" s="120">
        <f t="shared" si="3"/>
        <v>400000</v>
      </c>
      <c r="J30" s="120">
        <f t="shared" si="4"/>
        <v>200000</v>
      </c>
      <c r="K30" s="120">
        <f t="shared" si="5"/>
        <v>200000</v>
      </c>
      <c r="L30" s="120">
        <f t="shared" si="6"/>
        <v>2000000</v>
      </c>
      <c r="M30" s="120">
        <f t="shared" si="20"/>
        <v>128000</v>
      </c>
      <c r="N30" s="167"/>
      <c r="O30" s="167"/>
      <c r="P30" s="122"/>
      <c r="Q30" s="170"/>
      <c r="R30" s="170"/>
      <c r="S30" s="124">
        <f t="shared" si="7"/>
        <v>22464000</v>
      </c>
      <c r="T30" s="124">
        <v>3500000</v>
      </c>
      <c r="U30" s="120">
        <f t="shared" si="8"/>
        <v>500000</v>
      </c>
      <c r="V30" s="125">
        <f t="shared" si="9"/>
        <v>21964000</v>
      </c>
      <c r="W30" s="126">
        <f t="shared" si="10"/>
        <v>0</v>
      </c>
      <c r="X30" s="120">
        <f t="shared" si="11"/>
        <v>330000</v>
      </c>
      <c r="Y30" s="127">
        <f t="shared" si="12"/>
        <v>1620000</v>
      </c>
      <c r="Z30" s="127">
        <f t="shared" si="13"/>
        <v>2092440</v>
      </c>
      <c r="AA30" s="127" t="str">
        <f t="shared" si="14"/>
        <v>-</v>
      </c>
      <c r="AB30" s="127" t="str">
        <f t="shared" si="15"/>
        <v>-</v>
      </c>
      <c r="AC30" s="127">
        <f t="shared" si="16"/>
        <v>4042440</v>
      </c>
      <c r="AD30" s="127">
        <f t="shared" si="17"/>
        <v>336870</v>
      </c>
      <c r="AE30" s="171">
        <f t="shared" si="18"/>
        <v>1535130</v>
      </c>
      <c r="AF30" s="120">
        <f t="shared" si="19"/>
        <v>160000</v>
      </c>
      <c r="AG30" s="132"/>
    </row>
    <row r="31" spans="2:33" ht="15.75" customHeight="1">
      <c r="B31" s="166">
        <v>4</v>
      </c>
      <c r="C31" s="118" t="s">
        <v>272</v>
      </c>
      <c r="D31" s="167" t="s">
        <v>156</v>
      </c>
      <c r="E31" s="168">
        <f t="shared" si="0"/>
        <v>24000000</v>
      </c>
      <c r="F31" s="169">
        <v>2000000</v>
      </c>
      <c r="G31" s="120">
        <f t="shared" si="1"/>
        <v>600000</v>
      </c>
      <c r="H31" s="120">
        <f t="shared" si="2"/>
        <v>600000</v>
      </c>
      <c r="I31" s="120">
        <f t="shared" si="3"/>
        <v>400000</v>
      </c>
      <c r="J31" s="120">
        <f t="shared" si="4"/>
        <v>200000</v>
      </c>
      <c r="K31" s="120">
        <f t="shared" si="5"/>
        <v>200000</v>
      </c>
      <c r="L31" s="120">
        <f t="shared" si="6"/>
        <v>2000000</v>
      </c>
      <c r="M31" s="120">
        <f t="shared" si="20"/>
        <v>128000</v>
      </c>
      <c r="N31" s="167"/>
      <c r="O31" s="167"/>
      <c r="P31" s="122"/>
      <c r="Q31" s="170"/>
      <c r="R31" s="170"/>
      <c r="S31" s="124">
        <f t="shared" si="7"/>
        <v>22464000</v>
      </c>
      <c r="T31" s="124">
        <v>3500000</v>
      </c>
      <c r="U31" s="120">
        <f t="shared" si="8"/>
        <v>500000</v>
      </c>
      <c r="V31" s="125">
        <f t="shared" si="9"/>
        <v>21964000</v>
      </c>
      <c r="W31" s="126">
        <f t="shared" si="10"/>
        <v>0</v>
      </c>
      <c r="X31" s="120">
        <f t="shared" si="11"/>
        <v>330000</v>
      </c>
      <c r="Y31" s="127">
        <f t="shared" si="12"/>
        <v>1620000</v>
      </c>
      <c r="Z31" s="127">
        <f t="shared" si="13"/>
        <v>2092440</v>
      </c>
      <c r="AA31" s="127" t="str">
        <f t="shared" si="14"/>
        <v>-</v>
      </c>
      <c r="AB31" s="127" t="str">
        <f t="shared" si="15"/>
        <v>-</v>
      </c>
      <c r="AC31" s="127">
        <f t="shared" si="16"/>
        <v>4042440</v>
      </c>
      <c r="AD31" s="127">
        <f t="shared" si="17"/>
        <v>336870</v>
      </c>
      <c r="AE31" s="171">
        <f t="shared" si="18"/>
        <v>1535130</v>
      </c>
      <c r="AF31" s="120">
        <f t="shared" si="19"/>
        <v>160000</v>
      </c>
      <c r="AG31" s="132"/>
    </row>
    <row r="32" spans="2:33" ht="15.75" customHeight="1">
      <c r="B32" s="166">
        <v>4</v>
      </c>
      <c r="C32" s="118" t="s">
        <v>277</v>
      </c>
      <c r="D32" s="167" t="s">
        <v>156</v>
      </c>
      <c r="E32" s="168">
        <f t="shared" si="0"/>
        <v>24000000</v>
      </c>
      <c r="F32" s="169">
        <v>2000000</v>
      </c>
      <c r="G32" s="120">
        <f t="shared" si="1"/>
        <v>600000</v>
      </c>
      <c r="H32" s="120">
        <f t="shared" si="2"/>
        <v>600000</v>
      </c>
      <c r="I32" s="120">
        <f t="shared" si="3"/>
        <v>400000</v>
      </c>
      <c r="J32" s="120">
        <f t="shared" si="4"/>
        <v>200000</v>
      </c>
      <c r="K32" s="120">
        <f t="shared" si="5"/>
        <v>200000</v>
      </c>
      <c r="L32" s="120">
        <f t="shared" si="6"/>
        <v>2000000</v>
      </c>
      <c r="M32" s="120">
        <f t="shared" si="20"/>
        <v>128000</v>
      </c>
      <c r="N32" s="167"/>
      <c r="O32" s="167"/>
      <c r="P32" s="122"/>
      <c r="Q32" s="170"/>
      <c r="R32" s="170"/>
      <c r="S32" s="124">
        <f t="shared" si="7"/>
        <v>22464000</v>
      </c>
      <c r="T32" s="124">
        <v>3500000</v>
      </c>
      <c r="U32" s="120">
        <f t="shared" si="8"/>
        <v>500000</v>
      </c>
      <c r="V32" s="125">
        <f t="shared" si="9"/>
        <v>21964000</v>
      </c>
      <c r="W32" s="126">
        <f t="shared" si="10"/>
        <v>0</v>
      </c>
      <c r="X32" s="120">
        <f t="shared" si="11"/>
        <v>330000</v>
      </c>
      <c r="Y32" s="127">
        <f t="shared" si="12"/>
        <v>1620000</v>
      </c>
      <c r="Z32" s="127">
        <f t="shared" si="13"/>
        <v>2092440</v>
      </c>
      <c r="AA32" s="127" t="str">
        <f t="shared" si="14"/>
        <v>-</v>
      </c>
      <c r="AB32" s="127" t="str">
        <f t="shared" si="15"/>
        <v>-</v>
      </c>
      <c r="AC32" s="127">
        <f t="shared" si="16"/>
        <v>4042440</v>
      </c>
      <c r="AD32" s="127">
        <f t="shared" si="17"/>
        <v>336870</v>
      </c>
      <c r="AE32" s="171">
        <f t="shared" si="18"/>
        <v>1535130</v>
      </c>
      <c r="AF32" s="120">
        <f t="shared" si="19"/>
        <v>160000</v>
      </c>
      <c r="AG32" s="132"/>
    </row>
    <row r="33" spans="2:33" ht="15.75" customHeight="1">
      <c r="B33" s="166">
        <v>4</v>
      </c>
      <c r="C33" s="118" t="s">
        <v>281</v>
      </c>
      <c r="D33" s="167" t="s">
        <v>156</v>
      </c>
      <c r="E33" s="168">
        <f t="shared" si="0"/>
        <v>24000000</v>
      </c>
      <c r="F33" s="169">
        <v>2000000</v>
      </c>
      <c r="G33" s="120">
        <f t="shared" si="1"/>
        <v>600000</v>
      </c>
      <c r="H33" s="120">
        <f t="shared" si="2"/>
        <v>600000</v>
      </c>
      <c r="I33" s="120">
        <f t="shared" si="3"/>
        <v>400000</v>
      </c>
      <c r="J33" s="120">
        <f t="shared" si="4"/>
        <v>200000</v>
      </c>
      <c r="K33" s="120">
        <f t="shared" si="5"/>
        <v>200000</v>
      </c>
      <c r="L33" s="120">
        <f t="shared" si="6"/>
        <v>2000000</v>
      </c>
      <c r="M33" s="120">
        <f t="shared" si="20"/>
        <v>128000</v>
      </c>
      <c r="N33" s="167"/>
      <c r="O33" s="167"/>
      <c r="P33" s="122"/>
      <c r="Q33" s="170"/>
      <c r="R33" s="170"/>
      <c r="S33" s="124">
        <f t="shared" si="7"/>
        <v>22464000</v>
      </c>
      <c r="T33" s="124">
        <v>3500000</v>
      </c>
      <c r="U33" s="120">
        <f t="shared" si="8"/>
        <v>500000</v>
      </c>
      <c r="V33" s="125">
        <f t="shared" si="9"/>
        <v>21964000</v>
      </c>
      <c r="W33" s="126">
        <f t="shared" si="10"/>
        <v>0</v>
      </c>
      <c r="X33" s="120">
        <f t="shared" si="11"/>
        <v>330000</v>
      </c>
      <c r="Y33" s="127">
        <f t="shared" si="12"/>
        <v>1620000</v>
      </c>
      <c r="Z33" s="127">
        <f t="shared" si="13"/>
        <v>2092440</v>
      </c>
      <c r="AA33" s="127" t="str">
        <f t="shared" si="14"/>
        <v>-</v>
      </c>
      <c r="AB33" s="127" t="str">
        <f t="shared" si="15"/>
        <v>-</v>
      </c>
      <c r="AC33" s="127">
        <f t="shared" si="16"/>
        <v>4042440</v>
      </c>
      <c r="AD33" s="127">
        <f t="shared" si="17"/>
        <v>336870</v>
      </c>
      <c r="AE33" s="171">
        <f t="shared" si="18"/>
        <v>1535130</v>
      </c>
      <c r="AF33" s="120">
        <f t="shared" si="19"/>
        <v>160000</v>
      </c>
      <c r="AG33" s="132"/>
    </row>
    <row r="34" spans="2:33" ht="15.75" customHeight="1">
      <c r="B34" s="166">
        <v>4</v>
      </c>
      <c r="C34" s="118" t="s">
        <v>285</v>
      </c>
      <c r="D34" s="167" t="s">
        <v>156</v>
      </c>
      <c r="E34" s="168">
        <f t="shared" si="0"/>
        <v>24000000</v>
      </c>
      <c r="F34" s="169">
        <v>2000000</v>
      </c>
      <c r="G34" s="120">
        <f t="shared" si="1"/>
        <v>600000</v>
      </c>
      <c r="H34" s="120">
        <f t="shared" si="2"/>
        <v>600000</v>
      </c>
      <c r="I34" s="120">
        <f t="shared" si="3"/>
        <v>400000</v>
      </c>
      <c r="J34" s="120">
        <f t="shared" si="4"/>
        <v>200000</v>
      </c>
      <c r="K34" s="120">
        <f t="shared" si="5"/>
        <v>200000</v>
      </c>
      <c r="L34" s="120">
        <f t="shared" si="6"/>
        <v>2000000</v>
      </c>
      <c r="M34" s="120">
        <f t="shared" si="20"/>
        <v>128000</v>
      </c>
      <c r="N34" s="167"/>
      <c r="O34" s="167"/>
      <c r="P34" s="122"/>
      <c r="Q34" s="170"/>
      <c r="R34" s="170"/>
      <c r="S34" s="124">
        <f t="shared" si="7"/>
        <v>22464000</v>
      </c>
      <c r="T34" s="124">
        <v>3500000</v>
      </c>
      <c r="U34" s="120">
        <f t="shared" si="8"/>
        <v>500000</v>
      </c>
      <c r="V34" s="125">
        <f t="shared" si="9"/>
        <v>21964000</v>
      </c>
      <c r="W34" s="126">
        <f t="shared" si="10"/>
        <v>0</v>
      </c>
      <c r="X34" s="120">
        <f t="shared" si="11"/>
        <v>330000</v>
      </c>
      <c r="Y34" s="127">
        <f t="shared" si="12"/>
        <v>1620000</v>
      </c>
      <c r="Z34" s="127">
        <f t="shared" si="13"/>
        <v>2092440</v>
      </c>
      <c r="AA34" s="127" t="str">
        <f t="shared" si="14"/>
        <v>-</v>
      </c>
      <c r="AB34" s="127" t="str">
        <f t="shared" si="15"/>
        <v>-</v>
      </c>
      <c r="AC34" s="127">
        <f t="shared" si="16"/>
        <v>4042440</v>
      </c>
      <c r="AD34" s="127">
        <f t="shared" si="17"/>
        <v>336870</v>
      </c>
      <c r="AE34" s="171">
        <f t="shared" si="18"/>
        <v>1535130</v>
      </c>
      <c r="AF34" s="120">
        <f t="shared" si="19"/>
        <v>160000</v>
      </c>
      <c r="AG34" s="132"/>
    </row>
    <row r="35" spans="2:33" ht="15.75" customHeight="1">
      <c r="B35" s="166">
        <v>4</v>
      </c>
      <c r="C35" s="118" t="s">
        <v>288</v>
      </c>
      <c r="D35" s="167" t="s">
        <v>156</v>
      </c>
      <c r="E35" s="168">
        <f t="shared" si="0"/>
        <v>24000000</v>
      </c>
      <c r="F35" s="169">
        <v>2000000</v>
      </c>
      <c r="G35" s="120">
        <f t="shared" si="1"/>
        <v>600000</v>
      </c>
      <c r="H35" s="120">
        <f t="shared" si="2"/>
        <v>600000</v>
      </c>
      <c r="I35" s="120">
        <f t="shared" si="3"/>
        <v>400000</v>
      </c>
      <c r="J35" s="120">
        <f t="shared" si="4"/>
        <v>200000</v>
      </c>
      <c r="K35" s="120">
        <f t="shared" si="5"/>
        <v>200000</v>
      </c>
      <c r="L35" s="120">
        <f t="shared" si="6"/>
        <v>2000000</v>
      </c>
      <c r="M35" s="120">
        <f t="shared" si="20"/>
        <v>128000</v>
      </c>
      <c r="N35" s="167"/>
      <c r="O35" s="167"/>
      <c r="P35" s="122"/>
      <c r="Q35" s="170"/>
      <c r="R35" s="170"/>
      <c r="S35" s="124">
        <f t="shared" si="7"/>
        <v>22464000</v>
      </c>
      <c r="T35" s="124">
        <v>3500000</v>
      </c>
      <c r="U35" s="120">
        <f t="shared" si="8"/>
        <v>500000</v>
      </c>
      <c r="V35" s="125">
        <f t="shared" si="9"/>
        <v>21964000</v>
      </c>
      <c r="W35" s="126">
        <f t="shared" si="10"/>
        <v>0</v>
      </c>
      <c r="X35" s="120">
        <f t="shared" si="11"/>
        <v>330000</v>
      </c>
      <c r="Y35" s="127">
        <f t="shared" si="12"/>
        <v>1620000</v>
      </c>
      <c r="Z35" s="127">
        <f t="shared" si="13"/>
        <v>2092440</v>
      </c>
      <c r="AA35" s="127" t="str">
        <f t="shared" si="14"/>
        <v>-</v>
      </c>
      <c r="AB35" s="127" t="str">
        <f t="shared" si="15"/>
        <v>-</v>
      </c>
      <c r="AC35" s="127">
        <f t="shared" si="16"/>
        <v>4042440</v>
      </c>
      <c r="AD35" s="127">
        <f t="shared" si="17"/>
        <v>336870</v>
      </c>
      <c r="AE35" s="171">
        <f t="shared" si="18"/>
        <v>1535130</v>
      </c>
      <c r="AF35" s="120">
        <f t="shared" si="19"/>
        <v>160000</v>
      </c>
      <c r="AG35" s="132"/>
    </row>
    <row r="36" spans="2:33" ht="15.75" customHeight="1">
      <c r="B36" s="166">
        <v>4</v>
      </c>
      <c r="C36" s="118" t="s">
        <v>292</v>
      </c>
      <c r="D36" s="167" t="s">
        <v>156</v>
      </c>
      <c r="E36" s="168">
        <f t="shared" si="0"/>
        <v>24000000</v>
      </c>
      <c r="F36" s="169">
        <v>2000000</v>
      </c>
      <c r="G36" s="120">
        <f t="shared" si="1"/>
        <v>600000</v>
      </c>
      <c r="H36" s="120">
        <f t="shared" si="2"/>
        <v>600000</v>
      </c>
      <c r="I36" s="120">
        <f t="shared" si="3"/>
        <v>400000</v>
      </c>
      <c r="J36" s="120">
        <f t="shared" si="4"/>
        <v>200000</v>
      </c>
      <c r="K36" s="120">
        <f t="shared" si="5"/>
        <v>200000</v>
      </c>
      <c r="L36" s="120">
        <f t="shared" si="6"/>
        <v>2000000</v>
      </c>
      <c r="M36" s="120">
        <f t="shared" si="20"/>
        <v>128000</v>
      </c>
      <c r="N36" s="167"/>
      <c r="O36" s="167"/>
      <c r="P36" s="122"/>
      <c r="Q36" s="170"/>
      <c r="R36" s="170"/>
      <c r="S36" s="124">
        <f t="shared" si="7"/>
        <v>22464000</v>
      </c>
      <c r="T36" s="124">
        <v>3500000</v>
      </c>
      <c r="U36" s="120">
        <f t="shared" si="8"/>
        <v>500000</v>
      </c>
      <c r="V36" s="125">
        <f t="shared" si="9"/>
        <v>21964000</v>
      </c>
      <c r="W36" s="126">
        <f t="shared" si="10"/>
        <v>0</v>
      </c>
      <c r="X36" s="120">
        <f t="shared" si="11"/>
        <v>330000</v>
      </c>
      <c r="Y36" s="127">
        <f t="shared" si="12"/>
        <v>1620000</v>
      </c>
      <c r="Z36" s="127">
        <f t="shared" si="13"/>
        <v>2092440</v>
      </c>
      <c r="AA36" s="127" t="str">
        <f t="shared" si="14"/>
        <v>-</v>
      </c>
      <c r="AB36" s="127" t="str">
        <f t="shared" si="15"/>
        <v>-</v>
      </c>
      <c r="AC36" s="127">
        <f t="shared" si="16"/>
        <v>4042440</v>
      </c>
      <c r="AD36" s="127">
        <f t="shared" si="17"/>
        <v>336870</v>
      </c>
      <c r="AE36" s="171">
        <f t="shared" si="18"/>
        <v>1535130</v>
      </c>
      <c r="AF36" s="120">
        <f t="shared" si="19"/>
        <v>160000</v>
      </c>
      <c r="AG36" s="132"/>
    </row>
    <row r="37" spans="2:33" ht="15.75" customHeight="1">
      <c r="B37" s="166">
        <v>4</v>
      </c>
      <c r="C37" s="118" t="s">
        <v>296</v>
      </c>
      <c r="D37" s="167" t="s">
        <v>156</v>
      </c>
      <c r="E37" s="168">
        <f t="shared" si="0"/>
        <v>24000000</v>
      </c>
      <c r="F37" s="169">
        <v>2000000</v>
      </c>
      <c r="G37" s="120">
        <f t="shared" si="1"/>
        <v>600000</v>
      </c>
      <c r="H37" s="120">
        <f t="shared" si="2"/>
        <v>600000</v>
      </c>
      <c r="I37" s="120">
        <f t="shared" si="3"/>
        <v>400000</v>
      </c>
      <c r="J37" s="120">
        <f t="shared" si="4"/>
        <v>200000</v>
      </c>
      <c r="K37" s="120">
        <f t="shared" si="5"/>
        <v>200000</v>
      </c>
      <c r="L37" s="120">
        <f t="shared" si="6"/>
        <v>2000000</v>
      </c>
      <c r="M37" s="120">
        <f t="shared" si="20"/>
        <v>128000</v>
      </c>
      <c r="N37" s="167"/>
      <c r="O37" s="167"/>
      <c r="P37" s="122"/>
      <c r="Q37" s="170"/>
      <c r="R37" s="170"/>
      <c r="S37" s="124">
        <f t="shared" si="7"/>
        <v>22464000</v>
      </c>
      <c r="T37" s="124">
        <v>3500000</v>
      </c>
      <c r="U37" s="120">
        <f t="shared" si="8"/>
        <v>500000</v>
      </c>
      <c r="V37" s="125">
        <f t="shared" si="9"/>
        <v>21964000</v>
      </c>
      <c r="W37" s="126">
        <f t="shared" si="10"/>
        <v>0</v>
      </c>
      <c r="X37" s="120">
        <f t="shared" si="11"/>
        <v>330000</v>
      </c>
      <c r="Y37" s="127">
        <f t="shared" si="12"/>
        <v>1620000</v>
      </c>
      <c r="Z37" s="127">
        <f t="shared" si="13"/>
        <v>2092440</v>
      </c>
      <c r="AA37" s="127" t="str">
        <f t="shared" si="14"/>
        <v>-</v>
      </c>
      <c r="AB37" s="127" t="str">
        <f t="shared" si="15"/>
        <v>-</v>
      </c>
      <c r="AC37" s="127">
        <f t="shared" si="16"/>
        <v>4042440</v>
      </c>
      <c r="AD37" s="127">
        <f t="shared" si="17"/>
        <v>336870</v>
      </c>
      <c r="AE37" s="171">
        <f t="shared" si="18"/>
        <v>1535130</v>
      </c>
      <c r="AF37" s="120">
        <f t="shared" si="19"/>
        <v>160000</v>
      </c>
      <c r="AG37" s="132"/>
    </row>
    <row r="38" spans="2:33" ht="15.75" customHeight="1">
      <c r="B38" s="166">
        <v>4</v>
      </c>
      <c r="C38" s="118" t="s">
        <v>300</v>
      </c>
      <c r="D38" s="167" t="s">
        <v>156</v>
      </c>
      <c r="E38" s="168">
        <f t="shared" si="0"/>
        <v>24000000</v>
      </c>
      <c r="F38" s="169">
        <v>2000000</v>
      </c>
      <c r="G38" s="120">
        <f t="shared" si="1"/>
        <v>600000</v>
      </c>
      <c r="H38" s="120">
        <f t="shared" si="2"/>
        <v>600000</v>
      </c>
      <c r="I38" s="120">
        <f t="shared" si="3"/>
        <v>400000</v>
      </c>
      <c r="J38" s="120">
        <f t="shared" si="4"/>
        <v>200000</v>
      </c>
      <c r="K38" s="120">
        <f t="shared" si="5"/>
        <v>200000</v>
      </c>
      <c r="L38" s="120">
        <f t="shared" si="6"/>
        <v>2000000</v>
      </c>
      <c r="M38" s="120">
        <f t="shared" si="20"/>
        <v>128000</v>
      </c>
      <c r="N38" s="167"/>
      <c r="O38" s="167"/>
      <c r="P38" s="122"/>
      <c r="Q38" s="170"/>
      <c r="R38" s="170"/>
      <c r="S38" s="124">
        <f t="shared" si="7"/>
        <v>22464000</v>
      </c>
      <c r="T38" s="124">
        <v>3500000</v>
      </c>
      <c r="U38" s="120">
        <f t="shared" si="8"/>
        <v>500000</v>
      </c>
      <c r="V38" s="125">
        <f t="shared" si="9"/>
        <v>21964000</v>
      </c>
      <c r="W38" s="126">
        <f t="shared" si="10"/>
        <v>0</v>
      </c>
      <c r="X38" s="120">
        <f t="shared" si="11"/>
        <v>330000</v>
      </c>
      <c r="Y38" s="127">
        <f t="shared" si="12"/>
        <v>1620000</v>
      </c>
      <c r="Z38" s="127">
        <f t="shared" si="13"/>
        <v>2092440</v>
      </c>
      <c r="AA38" s="127" t="str">
        <f t="shared" si="14"/>
        <v>-</v>
      </c>
      <c r="AB38" s="127" t="str">
        <f t="shared" si="15"/>
        <v>-</v>
      </c>
      <c r="AC38" s="127">
        <f t="shared" si="16"/>
        <v>4042440</v>
      </c>
      <c r="AD38" s="127">
        <f t="shared" si="17"/>
        <v>336870</v>
      </c>
      <c r="AE38" s="171">
        <f t="shared" si="18"/>
        <v>1535130</v>
      </c>
      <c r="AF38" s="120">
        <f t="shared" si="19"/>
        <v>160000</v>
      </c>
      <c r="AG38" s="132"/>
    </row>
    <row r="39" spans="2:33" ht="15.75" customHeight="1">
      <c r="B39" s="166">
        <v>4</v>
      </c>
      <c r="C39" s="118" t="s">
        <v>304</v>
      </c>
      <c r="D39" s="167" t="s">
        <v>156</v>
      </c>
      <c r="E39" s="168">
        <f t="shared" si="0"/>
        <v>24000000</v>
      </c>
      <c r="F39" s="169">
        <v>2000000</v>
      </c>
      <c r="G39" s="120">
        <f t="shared" si="1"/>
        <v>600000</v>
      </c>
      <c r="H39" s="120">
        <f t="shared" si="2"/>
        <v>600000</v>
      </c>
      <c r="I39" s="120">
        <f t="shared" si="3"/>
        <v>400000</v>
      </c>
      <c r="J39" s="120">
        <f t="shared" si="4"/>
        <v>200000</v>
      </c>
      <c r="K39" s="120">
        <f t="shared" si="5"/>
        <v>200000</v>
      </c>
      <c r="L39" s="120">
        <f t="shared" si="6"/>
        <v>2000000</v>
      </c>
      <c r="M39" s="120">
        <f t="shared" si="20"/>
        <v>128000</v>
      </c>
      <c r="N39" s="167"/>
      <c r="O39" s="167"/>
      <c r="P39" s="122"/>
      <c r="Q39" s="170"/>
      <c r="R39" s="170"/>
      <c r="S39" s="124">
        <f t="shared" si="7"/>
        <v>22464000</v>
      </c>
      <c r="T39" s="124">
        <v>3500000</v>
      </c>
      <c r="U39" s="120">
        <f t="shared" si="8"/>
        <v>500000</v>
      </c>
      <c r="V39" s="125">
        <f t="shared" si="9"/>
        <v>21964000</v>
      </c>
      <c r="W39" s="126">
        <f t="shared" si="10"/>
        <v>0</v>
      </c>
      <c r="X39" s="120">
        <f t="shared" si="11"/>
        <v>330000</v>
      </c>
      <c r="Y39" s="127">
        <f t="shared" si="12"/>
        <v>1620000</v>
      </c>
      <c r="Z39" s="127">
        <f t="shared" si="13"/>
        <v>2092440</v>
      </c>
      <c r="AA39" s="127" t="str">
        <f t="shared" si="14"/>
        <v>-</v>
      </c>
      <c r="AB39" s="127" t="str">
        <f t="shared" si="15"/>
        <v>-</v>
      </c>
      <c r="AC39" s="127">
        <f t="shared" si="16"/>
        <v>4042440</v>
      </c>
      <c r="AD39" s="127">
        <f t="shared" si="17"/>
        <v>336870</v>
      </c>
      <c r="AE39" s="171">
        <f t="shared" si="18"/>
        <v>1535130</v>
      </c>
      <c r="AF39" s="120">
        <f t="shared" si="19"/>
        <v>160000</v>
      </c>
      <c r="AG39" s="132"/>
    </row>
    <row r="40" spans="2:33" ht="15.75" customHeight="1">
      <c r="B40" s="166">
        <v>4</v>
      </c>
      <c r="C40" s="118" t="s">
        <v>308</v>
      </c>
      <c r="D40" s="167" t="s">
        <v>156</v>
      </c>
      <c r="E40" s="168">
        <f t="shared" si="0"/>
        <v>24000000</v>
      </c>
      <c r="F40" s="169">
        <v>2000000</v>
      </c>
      <c r="G40" s="120">
        <f t="shared" si="1"/>
        <v>600000</v>
      </c>
      <c r="H40" s="120">
        <f t="shared" si="2"/>
        <v>600000</v>
      </c>
      <c r="I40" s="120">
        <f t="shared" si="3"/>
        <v>400000</v>
      </c>
      <c r="J40" s="120">
        <f t="shared" si="4"/>
        <v>200000</v>
      </c>
      <c r="K40" s="120">
        <f t="shared" si="5"/>
        <v>200000</v>
      </c>
      <c r="L40" s="120">
        <f t="shared" si="6"/>
        <v>2000000</v>
      </c>
      <c r="M40" s="120">
        <f t="shared" si="20"/>
        <v>128000</v>
      </c>
      <c r="N40" s="167"/>
      <c r="O40" s="167"/>
      <c r="P40" s="122"/>
      <c r="Q40" s="170"/>
      <c r="R40" s="170"/>
      <c r="S40" s="124">
        <f t="shared" si="7"/>
        <v>22464000</v>
      </c>
      <c r="T40" s="124">
        <v>3500000</v>
      </c>
      <c r="U40" s="120">
        <f t="shared" si="8"/>
        <v>500000</v>
      </c>
      <c r="V40" s="125">
        <f t="shared" si="9"/>
        <v>21964000</v>
      </c>
      <c r="W40" s="126">
        <f t="shared" si="10"/>
        <v>0</v>
      </c>
      <c r="X40" s="120">
        <f t="shared" si="11"/>
        <v>330000</v>
      </c>
      <c r="Y40" s="127">
        <f t="shared" si="12"/>
        <v>1620000</v>
      </c>
      <c r="Z40" s="127">
        <f t="shared" si="13"/>
        <v>2092440</v>
      </c>
      <c r="AA40" s="127" t="str">
        <f t="shared" si="14"/>
        <v>-</v>
      </c>
      <c r="AB40" s="127" t="str">
        <f t="shared" si="15"/>
        <v>-</v>
      </c>
      <c r="AC40" s="127">
        <f t="shared" si="16"/>
        <v>4042440</v>
      </c>
      <c r="AD40" s="127">
        <f t="shared" si="17"/>
        <v>336870</v>
      </c>
      <c r="AE40" s="171">
        <f t="shared" si="18"/>
        <v>1535130</v>
      </c>
      <c r="AF40" s="120">
        <f t="shared" si="19"/>
        <v>160000</v>
      </c>
      <c r="AG40" s="132"/>
    </row>
    <row r="41" spans="2:33" ht="15.75" customHeight="1">
      <c r="B41" s="166">
        <v>4</v>
      </c>
      <c r="C41" s="118" t="s">
        <v>313</v>
      </c>
      <c r="D41" s="167" t="s">
        <v>156</v>
      </c>
      <c r="E41" s="168">
        <f t="shared" si="0"/>
        <v>24000000</v>
      </c>
      <c r="F41" s="169">
        <v>2000000</v>
      </c>
      <c r="G41" s="120">
        <f t="shared" si="1"/>
        <v>600000</v>
      </c>
      <c r="H41" s="120">
        <f t="shared" si="2"/>
        <v>600000</v>
      </c>
      <c r="I41" s="120">
        <f t="shared" si="3"/>
        <v>400000</v>
      </c>
      <c r="J41" s="120">
        <f t="shared" si="4"/>
        <v>200000</v>
      </c>
      <c r="K41" s="120">
        <f t="shared" si="5"/>
        <v>200000</v>
      </c>
      <c r="L41" s="120">
        <f t="shared" si="6"/>
        <v>2000000</v>
      </c>
      <c r="M41" s="120">
        <f t="shared" si="20"/>
        <v>128000</v>
      </c>
      <c r="N41" s="167"/>
      <c r="O41" s="167"/>
      <c r="P41" s="122"/>
      <c r="Q41" s="170"/>
      <c r="R41" s="170"/>
      <c r="S41" s="124">
        <f t="shared" si="7"/>
        <v>22464000</v>
      </c>
      <c r="T41" s="124">
        <v>3500000</v>
      </c>
      <c r="U41" s="120">
        <f t="shared" si="8"/>
        <v>500000</v>
      </c>
      <c r="V41" s="125">
        <f t="shared" si="9"/>
        <v>21964000</v>
      </c>
      <c r="W41" s="126">
        <f t="shared" si="10"/>
        <v>0</v>
      </c>
      <c r="X41" s="120">
        <f t="shared" si="11"/>
        <v>330000</v>
      </c>
      <c r="Y41" s="127">
        <f t="shared" si="12"/>
        <v>1620000</v>
      </c>
      <c r="Z41" s="127">
        <f t="shared" si="13"/>
        <v>2092440</v>
      </c>
      <c r="AA41" s="127" t="str">
        <f t="shared" si="14"/>
        <v>-</v>
      </c>
      <c r="AB41" s="127" t="str">
        <f t="shared" si="15"/>
        <v>-</v>
      </c>
      <c r="AC41" s="127">
        <f t="shared" si="16"/>
        <v>4042440</v>
      </c>
      <c r="AD41" s="127">
        <f t="shared" si="17"/>
        <v>336870</v>
      </c>
      <c r="AE41" s="171">
        <f t="shared" si="18"/>
        <v>1535130</v>
      </c>
      <c r="AF41" s="120">
        <f t="shared" si="19"/>
        <v>160000</v>
      </c>
      <c r="AG41" s="132"/>
    </row>
    <row r="42" spans="2:33" ht="15.75" customHeight="1">
      <c r="B42" s="166">
        <v>4</v>
      </c>
      <c r="C42" s="118" t="s">
        <v>316</v>
      </c>
      <c r="D42" s="167" t="s">
        <v>156</v>
      </c>
      <c r="E42" s="168">
        <f t="shared" si="0"/>
        <v>24000000</v>
      </c>
      <c r="F42" s="169">
        <v>2000000</v>
      </c>
      <c r="G42" s="120">
        <f t="shared" si="1"/>
        <v>600000</v>
      </c>
      <c r="H42" s="120">
        <f t="shared" si="2"/>
        <v>600000</v>
      </c>
      <c r="I42" s="120">
        <f t="shared" si="3"/>
        <v>400000</v>
      </c>
      <c r="J42" s="120">
        <f t="shared" si="4"/>
        <v>200000</v>
      </c>
      <c r="K42" s="120">
        <f t="shared" si="5"/>
        <v>200000</v>
      </c>
      <c r="L42" s="120">
        <f t="shared" si="6"/>
        <v>2000000</v>
      </c>
      <c r="M42" s="120">
        <f t="shared" si="20"/>
        <v>128000</v>
      </c>
      <c r="N42" s="167"/>
      <c r="O42" s="167"/>
      <c r="P42" s="122"/>
      <c r="Q42" s="170"/>
      <c r="R42" s="170"/>
      <c r="S42" s="124">
        <f t="shared" si="7"/>
        <v>22464000</v>
      </c>
      <c r="T42" s="124">
        <v>3500000</v>
      </c>
      <c r="U42" s="120">
        <f t="shared" si="8"/>
        <v>500000</v>
      </c>
      <c r="V42" s="125">
        <f t="shared" si="9"/>
        <v>21964000</v>
      </c>
      <c r="W42" s="126">
        <f t="shared" si="10"/>
        <v>0</v>
      </c>
      <c r="X42" s="120">
        <f t="shared" si="11"/>
        <v>330000</v>
      </c>
      <c r="Y42" s="127">
        <f t="shared" si="12"/>
        <v>1620000</v>
      </c>
      <c r="Z42" s="127">
        <f t="shared" si="13"/>
        <v>2092440</v>
      </c>
      <c r="AA42" s="127" t="str">
        <f t="shared" si="14"/>
        <v>-</v>
      </c>
      <c r="AB42" s="127" t="str">
        <f t="shared" si="15"/>
        <v>-</v>
      </c>
      <c r="AC42" s="127">
        <f t="shared" si="16"/>
        <v>4042440</v>
      </c>
      <c r="AD42" s="127">
        <f t="shared" si="17"/>
        <v>336870</v>
      </c>
      <c r="AE42" s="171">
        <f t="shared" si="18"/>
        <v>1535130</v>
      </c>
      <c r="AF42" s="120">
        <f t="shared" si="19"/>
        <v>160000</v>
      </c>
      <c r="AG42" s="132"/>
    </row>
    <row r="43" spans="2:33" ht="15.75" customHeight="1">
      <c r="B43" s="166">
        <v>4</v>
      </c>
      <c r="C43" s="118" t="s">
        <v>319</v>
      </c>
      <c r="D43" s="167" t="s">
        <v>156</v>
      </c>
      <c r="E43" s="168">
        <f t="shared" si="0"/>
        <v>24000000</v>
      </c>
      <c r="F43" s="169">
        <v>2000000</v>
      </c>
      <c r="G43" s="120">
        <f t="shared" si="1"/>
        <v>600000</v>
      </c>
      <c r="H43" s="120">
        <f t="shared" si="2"/>
        <v>600000</v>
      </c>
      <c r="I43" s="120">
        <f t="shared" si="3"/>
        <v>400000</v>
      </c>
      <c r="J43" s="120">
        <f t="shared" si="4"/>
        <v>200000</v>
      </c>
      <c r="K43" s="120">
        <f t="shared" si="5"/>
        <v>200000</v>
      </c>
      <c r="L43" s="120">
        <f t="shared" si="6"/>
        <v>2000000</v>
      </c>
      <c r="M43" s="120">
        <f t="shared" si="20"/>
        <v>128000</v>
      </c>
      <c r="N43" s="167"/>
      <c r="O43" s="167"/>
      <c r="P43" s="122"/>
      <c r="Q43" s="170"/>
      <c r="R43" s="170"/>
      <c r="S43" s="124">
        <f t="shared" si="7"/>
        <v>22464000</v>
      </c>
      <c r="T43" s="124">
        <v>3500000</v>
      </c>
      <c r="U43" s="120">
        <f t="shared" si="8"/>
        <v>500000</v>
      </c>
      <c r="V43" s="125">
        <f t="shared" si="9"/>
        <v>21964000</v>
      </c>
      <c r="W43" s="126">
        <f t="shared" si="10"/>
        <v>0</v>
      </c>
      <c r="X43" s="120">
        <f t="shared" si="11"/>
        <v>330000</v>
      </c>
      <c r="Y43" s="127">
        <f t="shared" si="12"/>
        <v>1620000</v>
      </c>
      <c r="Z43" s="127">
        <f t="shared" si="13"/>
        <v>2092440</v>
      </c>
      <c r="AA43" s="127" t="str">
        <f t="shared" si="14"/>
        <v>-</v>
      </c>
      <c r="AB43" s="127" t="str">
        <f t="shared" si="15"/>
        <v>-</v>
      </c>
      <c r="AC43" s="127">
        <f t="shared" si="16"/>
        <v>4042440</v>
      </c>
      <c r="AD43" s="127">
        <f t="shared" si="17"/>
        <v>336870</v>
      </c>
      <c r="AE43" s="171">
        <f t="shared" si="18"/>
        <v>1535130</v>
      </c>
      <c r="AF43" s="120">
        <f t="shared" si="19"/>
        <v>160000</v>
      </c>
      <c r="AG43" s="132"/>
    </row>
    <row r="44" spans="2:33" ht="15.75" customHeight="1">
      <c r="B44" s="166">
        <v>4</v>
      </c>
      <c r="C44" s="118" t="s">
        <v>324</v>
      </c>
      <c r="D44" s="167" t="s">
        <v>156</v>
      </c>
      <c r="E44" s="168">
        <f t="shared" si="0"/>
        <v>24000000</v>
      </c>
      <c r="F44" s="169">
        <v>2000000</v>
      </c>
      <c r="G44" s="120">
        <f t="shared" si="1"/>
        <v>600000</v>
      </c>
      <c r="H44" s="120">
        <f t="shared" si="2"/>
        <v>600000</v>
      </c>
      <c r="I44" s="120">
        <f t="shared" si="3"/>
        <v>400000</v>
      </c>
      <c r="J44" s="120">
        <f t="shared" si="4"/>
        <v>200000</v>
      </c>
      <c r="K44" s="120">
        <f t="shared" si="5"/>
        <v>200000</v>
      </c>
      <c r="L44" s="120">
        <f t="shared" si="6"/>
        <v>2000000</v>
      </c>
      <c r="M44" s="120">
        <f t="shared" si="20"/>
        <v>128000</v>
      </c>
      <c r="N44" s="167"/>
      <c r="O44" s="167"/>
      <c r="P44" s="122"/>
      <c r="Q44" s="170"/>
      <c r="R44" s="170"/>
      <c r="S44" s="124">
        <f t="shared" si="7"/>
        <v>22464000</v>
      </c>
      <c r="T44" s="124">
        <v>3500000</v>
      </c>
      <c r="U44" s="120">
        <f t="shared" si="8"/>
        <v>500000</v>
      </c>
      <c r="V44" s="125">
        <f t="shared" si="9"/>
        <v>21964000</v>
      </c>
      <c r="W44" s="126">
        <f t="shared" si="10"/>
        <v>0</v>
      </c>
      <c r="X44" s="120">
        <f t="shared" si="11"/>
        <v>330000</v>
      </c>
      <c r="Y44" s="127">
        <f t="shared" si="12"/>
        <v>1620000</v>
      </c>
      <c r="Z44" s="127">
        <f t="shared" si="13"/>
        <v>2092440</v>
      </c>
      <c r="AA44" s="127" t="str">
        <f t="shared" si="14"/>
        <v>-</v>
      </c>
      <c r="AB44" s="127" t="str">
        <f t="shared" si="15"/>
        <v>-</v>
      </c>
      <c r="AC44" s="127">
        <f t="shared" si="16"/>
        <v>4042440</v>
      </c>
      <c r="AD44" s="127">
        <f t="shared" si="17"/>
        <v>336870</v>
      </c>
      <c r="AE44" s="171">
        <f t="shared" si="18"/>
        <v>1535130</v>
      </c>
      <c r="AF44" s="120">
        <f t="shared" si="19"/>
        <v>160000</v>
      </c>
      <c r="AG44" s="132"/>
    </row>
    <row r="45" spans="2:33" ht="15.75" customHeight="1">
      <c r="B45" s="166">
        <v>4</v>
      </c>
      <c r="C45" s="118" t="s">
        <v>327</v>
      </c>
      <c r="D45" s="167" t="s">
        <v>156</v>
      </c>
      <c r="E45" s="168">
        <f t="shared" si="0"/>
        <v>24000000</v>
      </c>
      <c r="F45" s="169">
        <v>2000000</v>
      </c>
      <c r="G45" s="120">
        <f t="shared" si="1"/>
        <v>600000</v>
      </c>
      <c r="H45" s="120">
        <f t="shared" si="2"/>
        <v>600000</v>
      </c>
      <c r="I45" s="120">
        <f t="shared" si="3"/>
        <v>400000</v>
      </c>
      <c r="J45" s="120">
        <f t="shared" si="4"/>
        <v>200000</v>
      </c>
      <c r="K45" s="120">
        <f t="shared" si="5"/>
        <v>200000</v>
      </c>
      <c r="L45" s="120">
        <f t="shared" si="6"/>
        <v>2000000</v>
      </c>
      <c r="M45" s="120">
        <f t="shared" si="20"/>
        <v>128000</v>
      </c>
      <c r="N45" s="167"/>
      <c r="O45" s="167"/>
      <c r="P45" s="122"/>
      <c r="Q45" s="170"/>
      <c r="R45" s="170"/>
      <c r="S45" s="124">
        <f t="shared" si="7"/>
        <v>22464000</v>
      </c>
      <c r="T45" s="124">
        <v>3500000</v>
      </c>
      <c r="U45" s="120">
        <f t="shared" si="8"/>
        <v>500000</v>
      </c>
      <c r="V45" s="125">
        <f t="shared" si="9"/>
        <v>21964000</v>
      </c>
      <c r="W45" s="126">
        <f t="shared" si="10"/>
        <v>0</v>
      </c>
      <c r="X45" s="120">
        <f t="shared" si="11"/>
        <v>330000</v>
      </c>
      <c r="Y45" s="127">
        <f t="shared" si="12"/>
        <v>1620000</v>
      </c>
      <c r="Z45" s="127">
        <f t="shared" si="13"/>
        <v>2092440</v>
      </c>
      <c r="AA45" s="127" t="str">
        <f t="shared" si="14"/>
        <v>-</v>
      </c>
      <c r="AB45" s="127" t="str">
        <f t="shared" si="15"/>
        <v>-</v>
      </c>
      <c r="AC45" s="127">
        <f t="shared" si="16"/>
        <v>4042440</v>
      </c>
      <c r="AD45" s="127">
        <f t="shared" si="17"/>
        <v>336870</v>
      </c>
      <c r="AE45" s="171">
        <f t="shared" si="18"/>
        <v>1535130</v>
      </c>
      <c r="AF45" s="120">
        <f t="shared" si="19"/>
        <v>160000</v>
      </c>
      <c r="AG45" s="132"/>
    </row>
    <row r="46" spans="2:33" ht="15.75" customHeight="1">
      <c r="B46" s="166">
        <v>4</v>
      </c>
      <c r="C46" s="118" t="s">
        <v>330</v>
      </c>
      <c r="D46" s="167" t="s">
        <v>156</v>
      </c>
      <c r="E46" s="168">
        <f t="shared" si="0"/>
        <v>24000000</v>
      </c>
      <c r="F46" s="169">
        <v>2000000</v>
      </c>
      <c r="G46" s="120">
        <f t="shared" si="1"/>
        <v>600000</v>
      </c>
      <c r="H46" s="120">
        <f t="shared" si="2"/>
        <v>600000</v>
      </c>
      <c r="I46" s="120">
        <f t="shared" si="3"/>
        <v>400000</v>
      </c>
      <c r="J46" s="120">
        <f t="shared" si="4"/>
        <v>200000</v>
      </c>
      <c r="K46" s="120">
        <f t="shared" si="5"/>
        <v>200000</v>
      </c>
      <c r="L46" s="120">
        <f t="shared" si="6"/>
        <v>2000000</v>
      </c>
      <c r="M46" s="120">
        <f t="shared" si="20"/>
        <v>128000</v>
      </c>
      <c r="N46" s="167"/>
      <c r="O46" s="167"/>
      <c r="P46" s="122"/>
      <c r="Q46" s="170"/>
      <c r="R46" s="170"/>
      <c r="S46" s="124">
        <f t="shared" si="7"/>
        <v>22464000</v>
      </c>
      <c r="T46" s="124">
        <v>3500000</v>
      </c>
      <c r="U46" s="120">
        <f t="shared" si="8"/>
        <v>500000</v>
      </c>
      <c r="V46" s="125">
        <f t="shared" si="9"/>
        <v>21964000</v>
      </c>
      <c r="W46" s="126">
        <f t="shared" si="10"/>
        <v>0</v>
      </c>
      <c r="X46" s="120">
        <f t="shared" si="11"/>
        <v>330000</v>
      </c>
      <c r="Y46" s="127">
        <f t="shared" si="12"/>
        <v>1620000</v>
      </c>
      <c r="Z46" s="127">
        <f t="shared" si="13"/>
        <v>2092440</v>
      </c>
      <c r="AA46" s="127" t="str">
        <f t="shared" si="14"/>
        <v>-</v>
      </c>
      <c r="AB46" s="127" t="str">
        <f t="shared" si="15"/>
        <v>-</v>
      </c>
      <c r="AC46" s="127">
        <f t="shared" si="16"/>
        <v>4042440</v>
      </c>
      <c r="AD46" s="127">
        <f t="shared" si="17"/>
        <v>336870</v>
      </c>
      <c r="AE46" s="171">
        <f t="shared" si="18"/>
        <v>1535130</v>
      </c>
      <c r="AF46" s="120">
        <f t="shared" si="19"/>
        <v>160000</v>
      </c>
      <c r="AG46" s="132"/>
    </row>
    <row r="47" spans="2:33" ht="15.75" customHeight="1">
      <c r="B47" s="166">
        <v>4</v>
      </c>
      <c r="C47" s="118" t="s">
        <v>335</v>
      </c>
      <c r="D47" s="167" t="s">
        <v>156</v>
      </c>
      <c r="E47" s="168">
        <f t="shared" si="0"/>
        <v>24000000</v>
      </c>
      <c r="F47" s="169">
        <v>2000000</v>
      </c>
      <c r="G47" s="120">
        <f t="shared" si="1"/>
        <v>600000</v>
      </c>
      <c r="H47" s="120">
        <f t="shared" si="2"/>
        <v>600000</v>
      </c>
      <c r="I47" s="120">
        <f t="shared" si="3"/>
        <v>400000</v>
      </c>
      <c r="J47" s="120">
        <f t="shared" si="4"/>
        <v>200000</v>
      </c>
      <c r="K47" s="120">
        <f t="shared" si="5"/>
        <v>200000</v>
      </c>
      <c r="L47" s="120">
        <f t="shared" si="6"/>
        <v>2000000</v>
      </c>
      <c r="M47" s="120">
        <f t="shared" si="20"/>
        <v>128000</v>
      </c>
      <c r="N47" s="167"/>
      <c r="O47" s="167"/>
      <c r="P47" s="122"/>
      <c r="Q47" s="170"/>
      <c r="R47" s="170"/>
      <c r="S47" s="124">
        <f t="shared" si="7"/>
        <v>22464000</v>
      </c>
      <c r="T47" s="124">
        <v>3500000</v>
      </c>
      <c r="U47" s="120">
        <f t="shared" si="8"/>
        <v>500000</v>
      </c>
      <c r="V47" s="125">
        <f t="shared" si="9"/>
        <v>21964000</v>
      </c>
      <c r="W47" s="126">
        <f t="shared" si="10"/>
        <v>0</v>
      </c>
      <c r="X47" s="120">
        <f t="shared" si="11"/>
        <v>330000</v>
      </c>
      <c r="Y47" s="127">
        <f t="shared" si="12"/>
        <v>1620000</v>
      </c>
      <c r="Z47" s="127">
        <f t="shared" si="13"/>
        <v>2092440</v>
      </c>
      <c r="AA47" s="127" t="str">
        <f t="shared" si="14"/>
        <v>-</v>
      </c>
      <c r="AB47" s="127" t="str">
        <f t="shared" si="15"/>
        <v>-</v>
      </c>
      <c r="AC47" s="127">
        <f t="shared" si="16"/>
        <v>4042440</v>
      </c>
      <c r="AD47" s="127">
        <f t="shared" si="17"/>
        <v>336870</v>
      </c>
      <c r="AE47" s="171">
        <f t="shared" si="18"/>
        <v>1535130</v>
      </c>
      <c r="AF47" s="120">
        <f t="shared" si="19"/>
        <v>160000</v>
      </c>
      <c r="AG47" s="132"/>
    </row>
    <row r="48" spans="2:33" ht="15.75" customHeight="1">
      <c r="B48" s="166">
        <v>4</v>
      </c>
      <c r="C48" s="118" t="s">
        <v>339</v>
      </c>
      <c r="D48" s="167" t="s">
        <v>156</v>
      </c>
      <c r="E48" s="168">
        <f t="shared" si="0"/>
        <v>24000000</v>
      </c>
      <c r="F48" s="169">
        <v>2000000</v>
      </c>
      <c r="G48" s="120">
        <f t="shared" si="1"/>
        <v>600000</v>
      </c>
      <c r="H48" s="120">
        <f t="shared" si="2"/>
        <v>600000</v>
      </c>
      <c r="I48" s="120">
        <f t="shared" si="3"/>
        <v>400000</v>
      </c>
      <c r="J48" s="120">
        <f t="shared" si="4"/>
        <v>200000</v>
      </c>
      <c r="K48" s="120">
        <f t="shared" si="5"/>
        <v>200000</v>
      </c>
      <c r="L48" s="120">
        <f t="shared" si="6"/>
        <v>2000000</v>
      </c>
      <c r="M48" s="120">
        <f t="shared" si="20"/>
        <v>128000</v>
      </c>
      <c r="N48" s="167"/>
      <c r="O48" s="167"/>
      <c r="P48" s="122"/>
      <c r="Q48" s="170"/>
      <c r="R48" s="170"/>
      <c r="S48" s="124">
        <f t="shared" si="7"/>
        <v>22464000</v>
      </c>
      <c r="T48" s="124">
        <v>3500000</v>
      </c>
      <c r="U48" s="120">
        <f t="shared" si="8"/>
        <v>500000</v>
      </c>
      <c r="V48" s="125">
        <f t="shared" si="9"/>
        <v>21964000</v>
      </c>
      <c r="W48" s="126">
        <f t="shared" si="10"/>
        <v>0</v>
      </c>
      <c r="X48" s="120">
        <f t="shared" si="11"/>
        <v>330000</v>
      </c>
      <c r="Y48" s="127">
        <f t="shared" si="12"/>
        <v>1620000</v>
      </c>
      <c r="Z48" s="127">
        <f t="shared" si="13"/>
        <v>2092440</v>
      </c>
      <c r="AA48" s="127" t="str">
        <f t="shared" si="14"/>
        <v>-</v>
      </c>
      <c r="AB48" s="127" t="str">
        <f t="shared" si="15"/>
        <v>-</v>
      </c>
      <c r="AC48" s="127">
        <f t="shared" si="16"/>
        <v>4042440</v>
      </c>
      <c r="AD48" s="127">
        <f t="shared" si="17"/>
        <v>336870</v>
      </c>
      <c r="AE48" s="171">
        <f t="shared" si="18"/>
        <v>1535130</v>
      </c>
      <c r="AF48" s="120">
        <f t="shared" si="19"/>
        <v>160000</v>
      </c>
      <c r="AG48" s="132"/>
    </row>
    <row r="49" spans="2:33" ht="15.75" customHeight="1">
      <c r="B49" s="166">
        <v>4</v>
      </c>
      <c r="C49" s="118" t="s">
        <v>343</v>
      </c>
      <c r="D49" s="167" t="s">
        <v>156</v>
      </c>
      <c r="E49" s="168">
        <f t="shared" si="0"/>
        <v>24000000</v>
      </c>
      <c r="F49" s="169">
        <v>2000000</v>
      </c>
      <c r="G49" s="120">
        <f t="shared" si="1"/>
        <v>600000</v>
      </c>
      <c r="H49" s="120">
        <f t="shared" si="2"/>
        <v>600000</v>
      </c>
      <c r="I49" s="120">
        <f t="shared" si="3"/>
        <v>400000</v>
      </c>
      <c r="J49" s="120">
        <f t="shared" si="4"/>
        <v>200000</v>
      </c>
      <c r="K49" s="120">
        <f t="shared" si="5"/>
        <v>200000</v>
      </c>
      <c r="L49" s="120">
        <f t="shared" si="6"/>
        <v>2000000</v>
      </c>
      <c r="M49" s="120">
        <f t="shared" si="20"/>
        <v>128000</v>
      </c>
      <c r="N49" s="167"/>
      <c r="O49" s="167"/>
      <c r="P49" s="122"/>
      <c r="Q49" s="170"/>
      <c r="R49" s="170"/>
      <c r="S49" s="124">
        <f t="shared" si="7"/>
        <v>22464000</v>
      </c>
      <c r="T49" s="124">
        <v>3500000</v>
      </c>
      <c r="U49" s="120">
        <f t="shared" si="8"/>
        <v>500000</v>
      </c>
      <c r="V49" s="125">
        <f t="shared" si="9"/>
        <v>21964000</v>
      </c>
      <c r="W49" s="126">
        <f t="shared" si="10"/>
        <v>0</v>
      </c>
      <c r="X49" s="120">
        <f t="shared" si="11"/>
        <v>330000</v>
      </c>
      <c r="Y49" s="127">
        <f t="shared" si="12"/>
        <v>1620000</v>
      </c>
      <c r="Z49" s="127">
        <f t="shared" si="13"/>
        <v>2092440</v>
      </c>
      <c r="AA49" s="127" t="str">
        <f t="shared" si="14"/>
        <v>-</v>
      </c>
      <c r="AB49" s="127" t="str">
        <f t="shared" si="15"/>
        <v>-</v>
      </c>
      <c r="AC49" s="127">
        <f t="shared" si="16"/>
        <v>4042440</v>
      </c>
      <c r="AD49" s="127">
        <f t="shared" si="17"/>
        <v>336870</v>
      </c>
      <c r="AE49" s="171">
        <f t="shared" si="18"/>
        <v>1535130</v>
      </c>
      <c r="AF49" s="120">
        <f t="shared" si="19"/>
        <v>160000</v>
      </c>
      <c r="AG49" s="132"/>
    </row>
    <row r="50" spans="2:33" ht="15.75" customHeight="1">
      <c r="B50" s="166">
        <v>4</v>
      </c>
      <c r="C50" s="118" t="s">
        <v>347</v>
      </c>
      <c r="D50" s="167" t="s">
        <v>156</v>
      </c>
      <c r="E50" s="168">
        <f t="shared" si="0"/>
        <v>24000000</v>
      </c>
      <c r="F50" s="169">
        <v>2000000</v>
      </c>
      <c r="G50" s="120">
        <f t="shared" si="1"/>
        <v>600000</v>
      </c>
      <c r="H50" s="120">
        <f t="shared" si="2"/>
        <v>600000</v>
      </c>
      <c r="I50" s="120">
        <f t="shared" si="3"/>
        <v>400000</v>
      </c>
      <c r="J50" s="120">
        <f t="shared" si="4"/>
        <v>200000</v>
      </c>
      <c r="K50" s="120">
        <f t="shared" si="5"/>
        <v>200000</v>
      </c>
      <c r="L50" s="120">
        <f t="shared" si="6"/>
        <v>2000000</v>
      </c>
      <c r="M50" s="120">
        <f t="shared" si="20"/>
        <v>128000</v>
      </c>
      <c r="N50" s="167"/>
      <c r="O50" s="167"/>
      <c r="P50" s="122"/>
      <c r="Q50" s="170"/>
      <c r="R50" s="170"/>
      <c r="S50" s="124">
        <f t="shared" si="7"/>
        <v>22464000</v>
      </c>
      <c r="T50" s="124">
        <v>3500000</v>
      </c>
      <c r="U50" s="120">
        <f t="shared" si="8"/>
        <v>500000</v>
      </c>
      <c r="V50" s="125">
        <f t="shared" si="9"/>
        <v>21964000</v>
      </c>
      <c r="W50" s="126">
        <f t="shared" si="10"/>
        <v>0</v>
      </c>
      <c r="X50" s="120">
        <f t="shared" si="11"/>
        <v>330000</v>
      </c>
      <c r="Y50" s="127">
        <f t="shared" si="12"/>
        <v>1620000</v>
      </c>
      <c r="Z50" s="127">
        <f t="shared" si="13"/>
        <v>2092440</v>
      </c>
      <c r="AA50" s="127" t="str">
        <f t="shared" si="14"/>
        <v>-</v>
      </c>
      <c r="AB50" s="127" t="str">
        <f t="shared" si="15"/>
        <v>-</v>
      </c>
      <c r="AC50" s="127">
        <f t="shared" si="16"/>
        <v>4042440</v>
      </c>
      <c r="AD50" s="127">
        <f t="shared" si="17"/>
        <v>336870</v>
      </c>
      <c r="AE50" s="171">
        <f t="shared" si="18"/>
        <v>1535130</v>
      </c>
      <c r="AF50" s="120">
        <f t="shared" si="19"/>
        <v>160000</v>
      </c>
      <c r="AG50" s="132"/>
    </row>
    <row r="51" spans="2:33" ht="15.75" customHeight="1">
      <c r="B51" s="166">
        <v>4</v>
      </c>
      <c r="C51" s="118" t="s">
        <v>351</v>
      </c>
      <c r="D51" s="167" t="s">
        <v>156</v>
      </c>
      <c r="E51" s="168">
        <f t="shared" si="0"/>
        <v>24000000</v>
      </c>
      <c r="F51" s="169">
        <v>2000000</v>
      </c>
      <c r="G51" s="120">
        <f t="shared" si="1"/>
        <v>600000</v>
      </c>
      <c r="H51" s="120">
        <f t="shared" si="2"/>
        <v>600000</v>
      </c>
      <c r="I51" s="120">
        <f t="shared" si="3"/>
        <v>400000</v>
      </c>
      <c r="J51" s="120">
        <f t="shared" si="4"/>
        <v>200000</v>
      </c>
      <c r="K51" s="120">
        <f t="shared" si="5"/>
        <v>200000</v>
      </c>
      <c r="L51" s="120">
        <f t="shared" si="6"/>
        <v>2000000</v>
      </c>
      <c r="M51" s="120">
        <f t="shared" si="20"/>
        <v>128000</v>
      </c>
      <c r="N51" s="167"/>
      <c r="O51" s="167"/>
      <c r="P51" s="122"/>
      <c r="Q51" s="170"/>
      <c r="R51" s="170"/>
      <c r="S51" s="124">
        <f t="shared" si="7"/>
        <v>22464000</v>
      </c>
      <c r="T51" s="124">
        <v>3500000</v>
      </c>
      <c r="U51" s="120">
        <f t="shared" si="8"/>
        <v>500000</v>
      </c>
      <c r="V51" s="125">
        <f t="shared" si="9"/>
        <v>21964000</v>
      </c>
      <c r="W51" s="126">
        <f t="shared" si="10"/>
        <v>0</v>
      </c>
      <c r="X51" s="120">
        <f t="shared" si="11"/>
        <v>330000</v>
      </c>
      <c r="Y51" s="127">
        <f t="shared" si="12"/>
        <v>1620000</v>
      </c>
      <c r="Z51" s="127">
        <f t="shared" si="13"/>
        <v>2092440</v>
      </c>
      <c r="AA51" s="127" t="str">
        <f t="shared" si="14"/>
        <v>-</v>
      </c>
      <c r="AB51" s="127" t="str">
        <f t="shared" si="15"/>
        <v>-</v>
      </c>
      <c r="AC51" s="127">
        <f t="shared" si="16"/>
        <v>4042440</v>
      </c>
      <c r="AD51" s="127">
        <f t="shared" si="17"/>
        <v>336870</v>
      </c>
      <c r="AE51" s="171">
        <f t="shared" si="18"/>
        <v>1535130</v>
      </c>
      <c r="AF51" s="120">
        <f t="shared" si="19"/>
        <v>160000</v>
      </c>
      <c r="AG51" s="132"/>
    </row>
    <row r="52" spans="2:33" ht="15.75" customHeight="1">
      <c r="B52" s="166">
        <v>4</v>
      </c>
      <c r="C52" s="118" t="s">
        <v>355</v>
      </c>
      <c r="D52" s="167" t="s">
        <v>156</v>
      </c>
      <c r="E52" s="168">
        <f t="shared" si="0"/>
        <v>24000000</v>
      </c>
      <c r="F52" s="169">
        <v>2000000</v>
      </c>
      <c r="G52" s="120">
        <f t="shared" si="1"/>
        <v>600000</v>
      </c>
      <c r="H52" s="120">
        <f t="shared" si="2"/>
        <v>600000</v>
      </c>
      <c r="I52" s="120">
        <f t="shared" si="3"/>
        <v>400000</v>
      </c>
      <c r="J52" s="120">
        <f t="shared" si="4"/>
        <v>200000</v>
      </c>
      <c r="K52" s="120">
        <f t="shared" si="5"/>
        <v>200000</v>
      </c>
      <c r="L52" s="120">
        <f t="shared" si="6"/>
        <v>2000000</v>
      </c>
      <c r="M52" s="120">
        <f t="shared" si="20"/>
        <v>128000</v>
      </c>
      <c r="N52" s="167"/>
      <c r="O52" s="167"/>
      <c r="P52" s="122"/>
      <c r="Q52" s="170"/>
      <c r="R52" s="170"/>
      <c r="S52" s="124">
        <f t="shared" si="7"/>
        <v>22464000</v>
      </c>
      <c r="T52" s="124">
        <v>3500000</v>
      </c>
      <c r="U52" s="120">
        <f t="shared" si="8"/>
        <v>500000</v>
      </c>
      <c r="V52" s="125">
        <f t="shared" si="9"/>
        <v>21964000</v>
      </c>
      <c r="W52" s="126">
        <f t="shared" si="10"/>
        <v>0</v>
      </c>
      <c r="X52" s="120">
        <f t="shared" si="11"/>
        <v>330000</v>
      </c>
      <c r="Y52" s="127">
        <f t="shared" si="12"/>
        <v>1620000</v>
      </c>
      <c r="Z52" s="127">
        <f t="shared" si="13"/>
        <v>2092440</v>
      </c>
      <c r="AA52" s="127" t="str">
        <f t="shared" si="14"/>
        <v>-</v>
      </c>
      <c r="AB52" s="127" t="str">
        <f t="shared" si="15"/>
        <v>-</v>
      </c>
      <c r="AC52" s="127">
        <f t="shared" si="16"/>
        <v>4042440</v>
      </c>
      <c r="AD52" s="127">
        <f t="shared" si="17"/>
        <v>336870</v>
      </c>
      <c r="AE52" s="171">
        <f t="shared" si="18"/>
        <v>1535130</v>
      </c>
      <c r="AF52" s="120">
        <f t="shared" si="19"/>
        <v>160000</v>
      </c>
      <c r="AG52" s="132"/>
    </row>
    <row r="53" spans="2:33" ht="15.75" customHeight="1">
      <c r="B53" s="166">
        <v>4</v>
      </c>
      <c r="C53" s="118" t="s">
        <v>359</v>
      </c>
      <c r="D53" s="167" t="s">
        <v>156</v>
      </c>
      <c r="E53" s="168">
        <f t="shared" si="0"/>
        <v>24000000</v>
      </c>
      <c r="F53" s="169">
        <v>2000000</v>
      </c>
      <c r="G53" s="120">
        <f t="shared" si="1"/>
        <v>600000</v>
      </c>
      <c r="H53" s="120">
        <f t="shared" si="2"/>
        <v>600000</v>
      </c>
      <c r="I53" s="120">
        <f t="shared" si="3"/>
        <v>400000</v>
      </c>
      <c r="J53" s="120">
        <f t="shared" si="4"/>
        <v>200000</v>
      </c>
      <c r="K53" s="120">
        <f t="shared" si="5"/>
        <v>200000</v>
      </c>
      <c r="L53" s="120">
        <f t="shared" si="6"/>
        <v>2000000</v>
      </c>
      <c r="M53" s="120">
        <f t="shared" si="20"/>
        <v>128000</v>
      </c>
      <c r="N53" s="167"/>
      <c r="O53" s="167"/>
      <c r="P53" s="122"/>
      <c r="Q53" s="170"/>
      <c r="R53" s="170"/>
      <c r="S53" s="124">
        <f t="shared" si="7"/>
        <v>22464000</v>
      </c>
      <c r="T53" s="124">
        <v>3500000</v>
      </c>
      <c r="U53" s="120">
        <f t="shared" si="8"/>
        <v>500000</v>
      </c>
      <c r="V53" s="125">
        <f t="shared" si="9"/>
        <v>21964000</v>
      </c>
      <c r="W53" s="126">
        <f t="shared" si="10"/>
        <v>0</v>
      </c>
      <c r="X53" s="120">
        <f t="shared" si="11"/>
        <v>330000</v>
      </c>
      <c r="Y53" s="127">
        <f t="shared" si="12"/>
        <v>1620000</v>
      </c>
      <c r="Z53" s="127">
        <f t="shared" si="13"/>
        <v>2092440</v>
      </c>
      <c r="AA53" s="127" t="str">
        <f t="shared" si="14"/>
        <v>-</v>
      </c>
      <c r="AB53" s="127" t="str">
        <f t="shared" si="15"/>
        <v>-</v>
      </c>
      <c r="AC53" s="127">
        <f t="shared" si="16"/>
        <v>4042440</v>
      </c>
      <c r="AD53" s="127">
        <f t="shared" si="17"/>
        <v>336870</v>
      </c>
      <c r="AE53" s="171">
        <f t="shared" si="18"/>
        <v>1535130</v>
      </c>
      <c r="AF53" s="120">
        <f t="shared" si="19"/>
        <v>160000</v>
      </c>
      <c r="AG53" s="132"/>
    </row>
    <row r="54" spans="2:33" ht="15.75" customHeight="1">
      <c r="B54" s="166">
        <v>4</v>
      </c>
      <c r="C54" s="118" t="s">
        <v>363</v>
      </c>
      <c r="D54" s="167" t="s">
        <v>156</v>
      </c>
      <c r="E54" s="168">
        <f t="shared" si="0"/>
        <v>24000000</v>
      </c>
      <c r="F54" s="169">
        <v>2000000</v>
      </c>
      <c r="G54" s="120">
        <f t="shared" si="1"/>
        <v>600000</v>
      </c>
      <c r="H54" s="120">
        <f t="shared" si="2"/>
        <v>600000</v>
      </c>
      <c r="I54" s="120">
        <f t="shared" si="3"/>
        <v>400000</v>
      </c>
      <c r="J54" s="120">
        <f t="shared" si="4"/>
        <v>200000</v>
      </c>
      <c r="K54" s="120">
        <f t="shared" si="5"/>
        <v>200000</v>
      </c>
      <c r="L54" s="120">
        <f t="shared" si="6"/>
        <v>2000000</v>
      </c>
      <c r="M54" s="120">
        <f t="shared" si="20"/>
        <v>128000</v>
      </c>
      <c r="N54" s="167"/>
      <c r="O54" s="167"/>
      <c r="P54" s="122"/>
      <c r="Q54" s="170"/>
      <c r="R54" s="170"/>
      <c r="S54" s="124">
        <f t="shared" si="7"/>
        <v>22464000</v>
      </c>
      <c r="T54" s="124">
        <v>3500000</v>
      </c>
      <c r="U54" s="120">
        <f t="shared" si="8"/>
        <v>500000</v>
      </c>
      <c r="V54" s="125">
        <f t="shared" si="9"/>
        <v>21964000</v>
      </c>
      <c r="W54" s="126">
        <f t="shared" si="10"/>
        <v>0</v>
      </c>
      <c r="X54" s="120">
        <f t="shared" si="11"/>
        <v>330000</v>
      </c>
      <c r="Y54" s="127">
        <f t="shared" si="12"/>
        <v>1620000</v>
      </c>
      <c r="Z54" s="127">
        <f t="shared" si="13"/>
        <v>2092440</v>
      </c>
      <c r="AA54" s="127" t="str">
        <f t="shared" si="14"/>
        <v>-</v>
      </c>
      <c r="AB54" s="127" t="str">
        <f t="shared" si="15"/>
        <v>-</v>
      </c>
      <c r="AC54" s="127">
        <f t="shared" si="16"/>
        <v>4042440</v>
      </c>
      <c r="AD54" s="127">
        <f t="shared" si="17"/>
        <v>336870</v>
      </c>
      <c r="AE54" s="171">
        <f t="shared" si="18"/>
        <v>1535130</v>
      </c>
      <c r="AF54" s="120">
        <f t="shared" si="19"/>
        <v>160000</v>
      </c>
      <c r="AG54" s="132"/>
    </row>
    <row r="55" spans="2:33" ht="15.75" customHeight="1">
      <c r="C55" s="1" t="s">
        <v>367</v>
      </c>
    </row>
    <row r="56" spans="2:33" ht="15.75" customHeight="1"/>
    <row r="57" spans="2:33" ht="15.75" customHeight="1"/>
    <row r="58" spans="2:33" ht="15.75" customHeight="1"/>
    <row r="59" spans="2:33" ht="15.75" customHeight="1"/>
    <row r="60" spans="2:33" ht="15.75" customHeight="1"/>
    <row r="61" spans="2:33" ht="15.75" customHeight="1"/>
    <row r="62" spans="2:33" ht="15.75" customHeight="1"/>
    <row r="63" spans="2:33" ht="15.75" customHeight="1"/>
    <row r="64" spans="2:3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F4:AG4"/>
    <mergeCell ref="B2:D2"/>
    <mergeCell ref="G2:L2"/>
    <mergeCell ref="M2:O2"/>
    <mergeCell ref="R2:V2"/>
    <mergeCell ref="W2:AB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>
      <selection activeCell="C3" sqref="C3"/>
    </sheetView>
  </sheetViews>
  <sheetFormatPr defaultColWidth="12.5703125" defaultRowHeight="15" customHeight="1"/>
  <cols>
    <col min="1" max="6" width="12.5703125" customWidth="1"/>
    <col min="7" max="26" width="14.42578125" customWidth="1"/>
  </cols>
  <sheetData>
    <row r="1" spans="1:6" ht="15.75" customHeight="1">
      <c r="A1" s="37" t="s">
        <v>29</v>
      </c>
      <c r="B1" s="143" t="s">
        <v>374</v>
      </c>
      <c r="C1" s="143" t="s">
        <v>375</v>
      </c>
      <c r="D1" s="143" t="s">
        <v>376</v>
      </c>
      <c r="F1" s="1" t="s">
        <v>377</v>
      </c>
    </row>
    <row r="2" spans="1:6" ht="15.75" customHeight="1">
      <c r="A2" s="37">
        <v>1</v>
      </c>
      <c r="B2" s="143" t="s">
        <v>378</v>
      </c>
      <c r="C2" s="143" t="s">
        <v>378</v>
      </c>
      <c r="D2" s="143" t="s">
        <v>379</v>
      </c>
      <c r="F2" s="172" t="s">
        <v>380</v>
      </c>
    </row>
    <row r="3" spans="1:6" ht="15.75" customHeight="1">
      <c r="A3" s="37">
        <v>2</v>
      </c>
      <c r="B3" s="143" t="s">
        <v>378</v>
      </c>
      <c r="C3" s="143" t="s">
        <v>381</v>
      </c>
      <c r="D3" s="143" t="s">
        <v>382</v>
      </c>
      <c r="F3" s="173" t="s">
        <v>383</v>
      </c>
    </row>
    <row r="4" spans="1:6" ht="15.75" customHeight="1">
      <c r="A4" s="37">
        <v>3</v>
      </c>
      <c r="B4" s="143" t="s">
        <v>378</v>
      </c>
      <c r="C4" s="143" t="s">
        <v>384</v>
      </c>
      <c r="D4" s="143" t="s">
        <v>382</v>
      </c>
      <c r="F4" s="173" t="s">
        <v>385</v>
      </c>
    </row>
    <row r="5" spans="1:6" ht="15.75" customHeight="1">
      <c r="A5" s="37">
        <v>4</v>
      </c>
      <c r="B5" s="143" t="s">
        <v>381</v>
      </c>
      <c r="C5" s="143" t="s">
        <v>384</v>
      </c>
      <c r="D5" s="143" t="s">
        <v>382</v>
      </c>
      <c r="F5" s="173" t="s">
        <v>386</v>
      </c>
    </row>
    <row r="6" spans="1:6" ht="15.75" customHeight="1">
      <c r="A6" s="37">
        <v>5</v>
      </c>
      <c r="B6" s="143" t="s">
        <v>381</v>
      </c>
      <c r="C6" s="143" t="s">
        <v>381</v>
      </c>
      <c r="D6" s="143" t="s">
        <v>382</v>
      </c>
    </row>
    <row r="7" spans="1:6" ht="15.75" customHeight="1">
      <c r="A7" s="37">
        <v>6</v>
      </c>
      <c r="B7" s="143" t="s">
        <v>384</v>
      </c>
      <c r="C7" s="143" t="s">
        <v>384</v>
      </c>
      <c r="D7" s="143" t="s">
        <v>382</v>
      </c>
    </row>
    <row r="8" spans="1:6" ht="15.75" customHeight="1">
      <c r="A8" s="3"/>
    </row>
    <row r="9" spans="1:6" ht="15.75" customHeight="1">
      <c r="A9" s="3"/>
    </row>
    <row r="10" spans="1:6" ht="15.75" customHeight="1">
      <c r="A10" s="3"/>
    </row>
    <row r="11" spans="1:6" ht="15.75" customHeight="1">
      <c r="A11" s="3"/>
    </row>
    <row r="12" spans="1:6" ht="15.75" customHeight="1">
      <c r="A12" s="3"/>
    </row>
    <row r="13" spans="1:6" ht="15.75" customHeight="1">
      <c r="A13" s="3"/>
    </row>
    <row r="14" spans="1:6" ht="15.75" customHeight="1">
      <c r="A14" s="3"/>
    </row>
    <row r="15" spans="1:6" ht="15.75" customHeight="1">
      <c r="A15" s="3"/>
    </row>
    <row r="16" spans="1:6" ht="15.75" customHeight="1">
      <c r="A16" s="3"/>
    </row>
    <row r="17" spans="1:1" ht="15.75" customHeight="1">
      <c r="A17" s="3"/>
    </row>
    <row r="18" spans="1:1" ht="15.75" customHeight="1">
      <c r="A18" s="3"/>
    </row>
    <row r="19" spans="1:1" ht="15.75" customHeight="1">
      <c r="A19" s="3"/>
    </row>
    <row r="20" spans="1:1" ht="15.75" customHeight="1">
      <c r="A20" s="3"/>
    </row>
    <row r="21" spans="1:1" ht="15.75" customHeight="1">
      <c r="A21" s="3"/>
    </row>
    <row r="22" spans="1:1" ht="15.75" customHeight="1">
      <c r="A22" s="3"/>
    </row>
    <row r="23" spans="1:1" ht="15.75" customHeight="1">
      <c r="A23" s="3"/>
    </row>
    <row r="24" spans="1:1" ht="15.75" customHeight="1">
      <c r="A24" s="3"/>
    </row>
    <row r="25" spans="1:1" ht="15.75" customHeight="1">
      <c r="A25" s="3"/>
    </row>
    <row r="26" spans="1:1" ht="15.75" customHeight="1">
      <c r="A26" s="3"/>
    </row>
    <row r="27" spans="1:1" ht="15.75" customHeight="1">
      <c r="A27" s="3"/>
    </row>
    <row r="28" spans="1:1" ht="15.75" customHeight="1">
      <c r="A28" s="3"/>
    </row>
    <row r="29" spans="1:1" ht="15.75" customHeight="1">
      <c r="A29" s="3"/>
    </row>
    <row r="30" spans="1:1" ht="15.75" customHeight="1">
      <c r="A30" s="3"/>
    </row>
    <row r="31" spans="1:1" ht="15.75" customHeight="1">
      <c r="A31" s="3"/>
    </row>
    <row r="32" spans="1:1" ht="15.75" customHeight="1">
      <c r="A32" s="3"/>
    </row>
    <row r="33" spans="1:1" ht="15.75" customHeight="1">
      <c r="A33" s="3"/>
    </row>
    <row r="34" spans="1:1" ht="15.75" customHeight="1">
      <c r="A34" s="3"/>
    </row>
    <row r="35" spans="1:1" ht="15.75" customHeight="1">
      <c r="A35" s="3"/>
    </row>
    <row r="36" spans="1:1" ht="15.75" customHeight="1">
      <c r="A36" s="3"/>
    </row>
    <row r="37" spans="1:1" ht="15.75" customHeight="1">
      <c r="A37" s="3"/>
    </row>
    <row r="38" spans="1:1" ht="15.75" customHeight="1">
      <c r="A38" s="3"/>
    </row>
    <row r="39" spans="1:1" ht="15.75" customHeight="1">
      <c r="A39" s="3"/>
    </row>
    <row r="40" spans="1:1" ht="15.75" customHeight="1">
      <c r="A40" s="3"/>
    </row>
    <row r="41" spans="1:1" ht="15.75" customHeight="1">
      <c r="A41" s="3"/>
    </row>
    <row r="42" spans="1:1" ht="15.75" customHeight="1">
      <c r="A42" s="3"/>
    </row>
    <row r="43" spans="1:1" ht="15.75" customHeight="1">
      <c r="A43" s="3"/>
    </row>
    <row r="44" spans="1:1" ht="15.75" customHeight="1">
      <c r="A44" s="3"/>
    </row>
    <row r="45" spans="1:1" ht="15.75" customHeight="1">
      <c r="A45" s="3"/>
    </row>
    <row r="46" spans="1:1" ht="15.75" customHeight="1">
      <c r="A46" s="3"/>
    </row>
    <row r="47" spans="1:1" ht="15.75" customHeight="1">
      <c r="A47" s="3"/>
    </row>
    <row r="48" spans="1:1" ht="15.75" customHeight="1">
      <c r="A48" s="3"/>
    </row>
    <row r="49" spans="1:1" ht="15.75" customHeight="1">
      <c r="A49" s="3"/>
    </row>
    <row r="50" spans="1:1" ht="15.75" customHeight="1">
      <c r="A50" s="3"/>
    </row>
    <row r="51" spans="1:1" ht="15.75" customHeight="1">
      <c r="A51" s="3"/>
    </row>
    <row r="52" spans="1:1" ht="15.75" customHeight="1">
      <c r="A52" s="3"/>
    </row>
    <row r="53" spans="1:1" ht="15.75" customHeight="1">
      <c r="A53" s="3"/>
    </row>
    <row r="54" spans="1:1" ht="15.75" customHeight="1">
      <c r="A54" s="3"/>
    </row>
    <row r="55" spans="1:1" ht="15.75" customHeight="1">
      <c r="A55" s="3"/>
    </row>
    <row r="56" spans="1:1" ht="15.75" customHeight="1">
      <c r="A56" s="3"/>
    </row>
    <row r="57" spans="1:1" ht="15.75" customHeight="1">
      <c r="A57" s="3"/>
    </row>
    <row r="58" spans="1:1" ht="15.75" customHeight="1">
      <c r="A58" s="3"/>
    </row>
    <row r="59" spans="1:1" ht="15.75" customHeight="1">
      <c r="A59" s="3"/>
    </row>
    <row r="60" spans="1:1" ht="15.75" customHeight="1">
      <c r="A60" s="3"/>
    </row>
    <row r="61" spans="1:1" ht="15.75" customHeight="1">
      <c r="A61" s="3"/>
    </row>
    <row r="62" spans="1:1" ht="15.75" customHeight="1">
      <c r="A62" s="3"/>
    </row>
    <row r="63" spans="1:1" ht="15.75" customHeight="1">
      <c r="A63" s="3"/>
    </row>
    <row r="64" spans="1:1" ht="15.75" customHeight="1">
      <c r="A64" s="3"/>
    </row>
    <row r="65" spans="1:1" ht="15.75" customHeight="1">
      <c r="A65" s="3"/>
    </row>
    <row r="66" spans="1:1" ht="15.75" customHeight="1">
      <c r="A66" s="3"/>
    </row>
    <row r="67" spans="1:1" ht="15.75" customHeight="1">
      <c r="A67" s="3"/>
    </row>
    <row r="68" spans="1:1" ht="15.75" customHeight="1">
      <c r="A68" s="3"/>
    </row>
    <row r="69" spans="1:1" ht="15.75" customHeight="1">
      <c r="A69" s="3"/>
    </row>
    <row r="70" spans="1:1" ht="15.75" customHeight="1">
      <c r="A70" s="3"/>
    </row>
    <row r="71" spans="1:1" ht="15.75" customHeight="1">
      <c r="A71" s="3"/>
    </row>
    <row r="72" spans="1:1" ht="15.75" customHeight="1">
      <c r="A72" s="3"/>
    </row>
    <row r="73" spans="1:1" ht="15.75" customHeight="1">
      <c r="A73" s="3"/>
    </row>
    <row r="74" spans="1:1" ht="15.75" customHeight="1">
      <c r="A74" s="3"/>
    </row>
    <row r="75" spans="1:1" ht="15.75" customHeight="1">
      <c r="A75" s="3"/>
    </row>
    <row r="76" spans="1:1" ht="15.75" customHeight="1">
      <c r="A76" s="3"/>
    </row>
    <row r="77" spans="1:1" ht="15.75" customHeight="1">
      <c r="A77" s="3"/>
    </row>
    <row r="78" spans="1:1" ht="15.75" customHeight="1">
      <c r="A78" s="3"/>
    </row>
    <row r="79" spans="1:1" ht="15.75" customHeight="1">
      <c r="A79" s="3"/>
    </row>
    <row r="80" spans="1:1" ht="15.75" customHeight="1">
      <c r="A80" s="3"/>
    </row>
    <row r="81" spans="1:1" ht="15.75" customHeight="1">
      <c r="A81" s="3"/>
    </row>
    <row r="82" spans="1:1" ht="15.75" customHeight="1">
      <c r="A82" s="3"/>
    </row>
    <row r="83" spans="1:1" ht="15.75" customHeight="1">
      <c r="A83" s="3"/>
    </row>
    <row r="84" spans="1:1" ht="15.75" customHeight="1">
      <c r="A84" s="3"/>
    </row>
    <row r="85" spans="1:1" ht="15.75" customHeight="1">
      <c r="A85" s="3"/>
    </row>
    <row r="86" spans="1:1" ht="15.75" customHeight="1">
      <c r="A86" s="3"/>
    </row>
    <row r="87" spans="1:1" ht="15.75" customHeight="1">
      <c r="A87" s="3"/>
    </row>
    <row r="88" spans="1:1" ht="15.75" customHeight="1">
      <c r="A88" s="3"/>
    </row>
    <row r="89" spans="1:1" ht="15.75" customHeight="1">
      <c r="A89" s="3"/>
    </row>
    <row r="90" spans="1:1" ht="15.75" customHeight="1">
      <c r="A90" s="3"/>
    </row>
    <row r="91" spans="1:1" ht="15.75" customHeight="1">
      <c r="A91" s="3"/>
    </row>
    <row r="92" spans="1:1" ht="15.75" customHeight="1">
      <c r="A92" s="3"/>
    </row>
    <row r="93" spans="1:1" ht="15.75" customHeight="1">
      <c r="A93" s="3"/>
    </row>
    <row r="94" spans="1:1" ht="15.75" customHeight="1">
      <c r="A94" s="3"/>
    </row>
    <row r="95" spans="1:1" ht="15.75" customHeight="1">
      <c r="A95" s="3"/>
    </row>
    <row r="96" spans="1:1" ht="15.75" customHeight="1">
      <c r="A96" s="3"/>
    </row>
    <row r="97" spans="1:1" ht="15.75" customHeight="1">
      <c r="A97" s="3"/>
    </row>
    <row r="98" spans="1:1" ht="15.75" customHeight="1">
      <c r="A98" s="3"/>
    </row>
    <row r="99" spans="1:1" ht="15.75" customHeight="1">
      <c r="A99" s="3"/>
    </row>
    <row r="100" spans="1:1" ht="15.75" customHeight="1">
      <c r="A100" s="3"/>
    </row>
    <row r="101" spans="1:1" ht="15.75" customHeight="1">
      <c r="A101" s="3"/>
    </row>
    <row r="102" spans="1:1" ht="15.75" customHeight="1">
      <c r="A102" s="3"/>
    </row>
    <row r="103" spans="1:1" ht="15.75" customHeight="1">
      <c r="A103" s="3"/>
    </row>
    <row r="104" spans="1:1" ht="15.75" customHeight="1">
      <c r="A104" s="3"/>
    </row>
    <row r="105" spans="1:1" ht="15.75" customHeight="1">
      <c r="A105" s="3"/>
    </row>
    <row r="106" spans="1:1" ht="15.75" customHeight="1">
      <c r="A106" s="3"/>
    </row>
    <row r="107" spans="1:1" ht="15.75" customHeight="1">
      <c r="A107" s="3"/>
    </row>
    <row r="108" spans="1:1" ht="15.75" customHeight="1">
      <c r="A108" s="3"/>
    </row>
    <row r="109" spans="1:1" ht="15.75" customHeight="1">
      <c r="A109" s="3"/>
    </row>
    <row r="110" spans="1:1" ht="15.75" customHeight="1">
      <c r="A110" s="3"/>
    </row>
    <row r="111" spans="1:1" ht="15.75" customHeight="1">
      <c r="A111" s="3"/>
    </row>
    <row r="112" spans="1:1" ht="15.75" customHeight="1">
      <c r="A112" s="3"/>
    </row>
    <row r="113" spans="1:1" ht="15.75" customHeight="1">
      <c r="A113" s="3"/>
    </row>
    <row r="114" spans="1:1" ht="15.75" customHeight="1">
      <c r="A114" s="3"/>
    </row>
    <row r="115" spans="1:1" ht="15.75" customHeight="1">
      <c r="A115" s="3"/>
    </row>
    <row r="116" spans="1:1" ht="15.75" customHeight="1">
      <c r="A116" s="3"/>
    </row>
    <row r="117" spans="1:1" ht="15.75" customHeight="1">
      <c r="A117" s="3"/>
    </row>
    <row r="118" spans="1:1" ht="15.75" customHeight="1">
      <c r="A118" s="3"/>
    </row>
    <row r="119" spans="1:1" ht="15.75" customHeight="1">
      <c r="A119" s="3"/>
    </row>
    <row r="120" spans="1:1" ht="15.75" customHeight="1">
      <c r="A120" s="3"/>
    </row>
    <row r="121" spans="1:1" ht="15.75" customHeight="1">
      <c r="A121" s="3"/>
    </row>
    <row r="122" spans="1:1" ht="15.75" customHeight="1">
      <c r="A122" s="3"/>
    </row>
    <row r="123" spans="1:1" ht="15.75" customHeight="1">
      <c r="A123" s="3"/>
    </row>
    <row r="124" spans="1:1" ht="15.75" customHeight="1">
      <c r="A124" s="3"/>
    </row>
    <row r="125" spans="1:1" ht="15.75" customHeight="1">
      <c r="A125" s="3"/>
    </row>
    <row r="126" spans="1:1" ht="15.75" customHeight="1">
      <c r="A126" s="3"/>
    </row>
    <row r="127" spans="1:1" ht="15.75" customHeight="1">
      <c r="A127" s="3"/>
    </row>
    <row r="128" spans="1:1" ht="15.75" customHeight="1">
      <c r="A128" s="3"/>
    </row>
    <row r="129" spans="1:1" ht="15.75" customHeight="1">
      <c r="A129" s="3"/>
    </row>
    <row r="130" spans="1:1" ht="15.75" customHeight="1">
      <c r="A130" s="3"/>
    </row>
    <row r="131" spans="1:1" ht="15.75" customHeight="1">
      <c r="A131" s="3"/>
    </row>
    <row r="132" spans="1:1" ht="15.75" customHeight="1">
      <c r="A132" s="3"/>
    </row>
    <row r="133" spans="1:1" ht="15.75" customHeight="1">
      <c r="A133" s="3"/>
    </row>
    <row r="134" spans="1:1" ht="15.75" customHeight="1">
      <c r="A134" s="3"/>
    </row>
    <row r="135" spans="1:1" ht="15.75" customHeight="1">
      <c r="A135" s="3"/>
    </row>
    <row r="136" spans="1:1" ht="15.75" customHeight="1">
      <c r="A136" s="3"/>
    </row>
    <row r="137" spans="1:1" ht="15.75" customHeight="1">
      <c r="A137" s="3"/>
    </row>
    <row r="138" spans="1:1" ht="15.75" customHeight="1">
      <c r="A138" s="3"/>
    </row>
    <row r="139" spans="1:1" ht="15.75" customHeight="1">
      <c r="A139" s="3"/>
    </row>
    <row r="140" spans="1:1" ht="15.75" customHeight="1">
      <c r="A140" s="3"/>
    </row>
    <row r="141" spans="1:1" ht="15.75" customHeight="1">
      <c r="A141" s="3"/>
    </row>
    <row r="142" spans="1:1" ht="15.75" customHeight="1">
      <c r="A142" s="3"/>
    </row>
    <row r="143" spans="1:1" ht="15.75" customHeight="1">
      <c r="A143" s="3"/>
    </row>
    <row r="144" spans="1:1" ht="15.75" customHeight="1">
      <c r="A144" s="3"/>
    </row>
    <row r="145" spans="1:1" ht="15.75" customHeight="1">
      <c r="A145" s="3"/>
    </row>
    <row r="146" spans="1:1" ht="15.75" customHeight="1">
      <c r="A146" s="3"/>
    </row>
    <row r="147" spans="1:1" ht="15.75" customHeight="1">
      <c r="A147" s="3"/>
    </row>
    <row r="148" spans="1:1" ht="15.75" customHeight="1">
      <c r="A148" s="3"/>
    </row>
    <row r="149" spans="1:1" ht="15.75" customHeight="1">
      <c r="A149" s="3"/>
    </row>
    <row r="150" spans="1:1" ht="15.75" customHeight="1">
      <c r="A150" s="3"/>
    </row>
    <row r="151" spans="1:1" ht="15.75" customHeight="1">
      <c r="A151" s="3"/>
    </row>
    <row r="152" spans="1:1" ht="15.75" customHeight="1">
      <c r="A152" s="3"/>
    </row>
    <row r="153" spans="1:1" ht="15.75" customHeight="1">
      <c r="A153" s="3"/>
    </row>
    <row r="154" spans="1:1" ht="15.75" customHeight="1">
      <c r="A154" s="3"/>
    </row>
    <row r="155" spans="1:1" ht="15.75" customHeight="1">
      <c r="A155" s="3"/>
    </row>
    <row r="156" spans="1:1" ht="15.75" customHeight="1">
      <c r="A156" s="3"/>
    </row>
    <row r="157" spans="1:1" ht="15.75" customHeight="1">
      <c r="A157" s="3"/>
    </row>
    <row r="158" spans="1:1" ht="15.75" customHeight="1">
      <c r="A158" s="3"/>
    </row>
    <row r="159" spans="1:1" ht="15.75" customHeight="1">
      <c r="A159" s="3"/>
    </row>
    <row r="160" spans="1:1" ht="15.75" customHeight="1">
      <c r="A160" s="3"/>
    </row>
    <row r="161" spans="1:1" ht="15.75" customHeight="1">
      <c r="A161" s="3"/>
    </row>
    <row r="162" spans="1:1" ht="15.75" customHeight="1">
      <c r="A162" s="3"/>
    </row>
    <row r="163" spans="1:1" ht="15.75" customHeight="1">
      <c r="A163" s="3"/>
    </row>
    <row r="164" spans="1:1" ht="15.75" customHeight="1">
      <c r="A164" s="3"/>
    </row>
    <row r="165" spans="1:1" ht="15.75" customHeight="1">
      <c r="A165" s="3"/>
    </row>
    <row r="166" spans="1:1" ht="15.75" customHeight="1">
      <c r="A166" s="3"/>
    </row>
    <row r="167" spans="1:1" ht="15.75" customHeight="1">
      <c r="A167" s="3"/>
    </row>
    <row r="168" spans="1:1" ht="15.75" customHeight="1">
      <c r="A168" s="3"/>
    </row>
    <row r="169" spans="1:1" ht="15.75" customHeight="1">
      <c r="A169" s="3"/>
    </row>
    <row r="170" spans="1:1" ht="15.75" customHeight="1">
      <c r="A170" s="3"/>
    </row>
    <row r="171" spans="1:1" ht="15.75" customHeight="1">
      <c r="A171" s="3"/>
    </row>
    <row r="172" spans="1:1" ht="15.75" customHeight="1">
      <c r="A172" s="3"/>
    </row>
    <row r="173" spans="1:1" ht="15.75" customHeight="1">
      <c r="A173" s="3"/>
    </row>
    <row r="174" spans="1:1" ht="15.75" customHeight="1">
      <c r="A174" s="3"/>
    </row>
    <row r="175" spans="1:1" ht="15.75" customHeight="1">
      <c r="A175" s="3"/>
    </row>
    <row r="176" spans="1:1" ht="15.75" customHeight="1">
      <c r="A176" s="3"/>
    </row>
    <row r="177" spans="1:1" ht="15.75" customHeight="1">
      <c r="A177" s="3"/>
    </row>
    <row r="178" spans="1:1" ht="15.75" customHeight="1">
      <c r="A178" s="3"/>
    </row>
    <row r="179" spans="1:1" ht="15.75" customHeight="1">
      <c r="A179" s="3"/>
    </row>
    <row r="180" spans="1:1" ht="15.75" customHeight="1">
      <c r="A180" s="3"/>
    </row>
    <row r="181" spans="1:1" ht="15.75" customHeight="1">
      <c r="A181" s="3"/>
    </row>
    <row r="182" spans="1:1" ht="15.75" customHeight="1">
      <c r="A182" s="3"/>
    </row>
    <row r="183" spans="1:1" ht="15.75" customHeight="1">
      <c r="A183" s="3"/>
    </row>
    <row r="184" spans="1:1" ht="15.75" customHeight="1">
      <c r="A184" s="3"/>
    </row>
    <row r="185" spans="1:1" ht="15.75" customHeight="1">
      <c r="A185" s="3"/>
    </row>
    <row r="186" spans="1:1" ht="15.75" customHeight="1">
      <c r="A186" s="3"/>
    </row>
    <row r="187" spans="1:1" ht="15.75" customHeight="1">
      <c r="A187" s="3"/>
    </row>
    <row r="188" spans="1:1" ht="15.75" customHeight="1">
      <c r="A188" s="3"/>
    </row>
    <row r="189" spans="1:1" ht="15.75" customHeight="1">
      <c r="A189" s="3"/>
    </row>
    <row r="190" spans="1:1" ht="15.75" customHeight="1">
      <c r="A190" s="3"/>
    </row>
    <row r="191" spans="1:1" ht="15.75" customHeight="1">
      <c r="A191" s="3"/>
    </row>
    <row r="192" spans="1:1" ht="15.75" customHeight="1">
      <c r="A192" s="3"/>
    </row>
    <row r="193" spans="1:1" ht="15.75" customHeight="1">
      <c r="A193" s="3"/>
    </row>
    <row r="194" spans="1:1" ht="15.75" customHeight="1">
      <c r="A194" s="3"/>
    </row>
    <row r="195" spans="1:1" ht="15.75" customHeight="1">
      <c r="A195" s="3"/>
    </row>
    <row r="196" spans="1:1" ht="15.75" customHeight="1">
      <c r="A196" s="3"/>
    </row>
    <row r="197" spans="1:1" ht="15.75" customHeight="1">
      <c r="A197" s="3"/>
    </row>
    <row r="198" spans="1:1" ht="15.75" customHeight="1">
      <c r="A198" s="3"/>
    </row>
    <row r="199" spans="1:1" ht="15.75" customHeight="1">
      <c r="A199" s="3"/>
    </row>
    <row r="200" spans="1:1" ht="15.75" customHeight="1">
      <c r="A200" s="3"/>
    </row>
    <row r="201" spans="1:1" ht="15.75" customHeight="1">
      <c r="A201" s="3"/>
    </row>
    <row r="202" spans="1:1" ht="15.75" customHeight="1">
      <c r="A202" s="3"/>
    </row>
    <row r="203" spans="1:1" ht="15.75" customHeight="1">
      <c r="A203" s="3"/>
    </row>
    <row r="204" spans="1:1" ht="15.75" customHeight="1">
      <c r="A204" s="3"/>
    </row>
    <row r="205" spans="1:1" ht="15.75" customHeight="1">
      <c r="A205" s="3"/>
    </row>
    <row r="206" spans="1:1" ht="15.75" customHeight="1">
      <c r="A206" s="3"/>
    </row>
    <row r="207" spans="1:1" ht="15.75" customHeight="1">
      <c r="A207" s="3"/>
    </row>
    <row r="208" spans="1:1" ht="15.75" customHeight="1">
      <c r="A208" s="3"/>
    </row>
    <row r="209" spans="1:1" ht="15.75" customHeight="1">
      <c r="A209" s="3"/>
    </row>
    <row r="210" spans="1:1" ht="15.75" customHeight="1">
      <c r="A210" s="3"/>
    </row>
    <row r="211" spans="1:1" ht="15.75" customHeight="1">
      <c r="A211" s="3"/>
    </row>
    <row r="212" spans="1:1" ht="15.75" customHeight="1">
      <c r="A212" s="3"/>
    </row>
    <row r="213" spans="1:1" ht="15.75" customHeight="1">
      <c r="A213" s="3"/>
    </row>
    <row r="214" spans="1:1" ht="15.75" customHeight="1">
      <c r="A214" s="3"/>
    </row>
    <row r="215" spans="1:1" ht="15.75" customHeight="1">
      <c r="A215" s="3"/>
    </row>
    <row r="216" spans="1:1" ht="15.75" customHeight="1">
      <c r="A216" s="3"/>
    </row>
    <row r="217" spans="1:1" ht="15.75" customHeight="1">
      <c r="A217" s="3"/>
    </row>
    <row r="218" spans="1:1" ht="15.75" customHeight="1">
      <c r="A218" s="3"/>
    </row>
    <row r="219" spans="1:1" ht="15.75" customHeight="1">
      <c r="A219" s="3"/>
    </row>
    <row r="220" spans="1:1" ht="15.75" customHeight="1">
      <c r="A220" s="3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/>
  <cols>
    <col min="1" max="1" width="27" customWidth="1"/>
    <col min="2" max="2" width="25.42578125" customWidth="1"/>
    <col min="3" max="3" width="18.140625" customWidth="1"/>
    <col min="4" max="4" width="18.7109375" customWidth="1"/>
    <col min="5" max="5" width="26.42578125" customWidth="1"/>
    <col min="6" max="7" width="14.42578125" customWidth="1"/>
    <col min="8" max="8" width="25.42578125" customWidth="1"/>
    <col min="9" max="9" width="12.28515625" customWidth="1"/>
    <col min="10" max="26" width="7.7109375" customWidth="1"/>
  </cols>
  <sheetData>
    <row r="1" spans="1:26" ht="16.5" customHeight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 ht="18" customHeight="1">
      <c r="A2" s="223" t="s">
        <v>392</v>
      </c>
      <c r="B2" s="224"/>
      <c r="C2" s="225"/>
      <c r="D2" s="229"/>
      <c r="E2" s="191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spans="1:26" ht="24" customHeight="1">
      <c r="A3" s="226"/>
      <c r="B3" s="227"/>
      <c r="C3" s="228"/>
      <c r="D3" s="191"/>
      <c r="E3" s="191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spans="1:26" ht="16.5" customHeight="1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spans="1:26" ht="16.5" customHeight="1">
      <c r="A5" s="177" t="s">
        <v>393</v>
      </c>
      <c r="B5" s="178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spans="1:26" ht="16.5" customHeight="1">
      <c r="A6" s="179"/>
      <c r="B6" s="179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spans="1:26" ht="16.5" customHeight="1">
      <c r="A7" s="179" t="s">
        <v>121</v>
      </c>
      <c r="B7" s="179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 ht="15.75" customHeight="1">
      <c r="A8" s="179" t="s">
        <v>394</v>
      </c>
      <c r="B8" s="179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spans="1:26" ht="15.75" customHeight="1">
      <c r="A9" s="179" t="s">
        <v>395</v>
      </c>
      <c r="B9" s="179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spans="1:26" ht="18.75" customHeight="1">
      <c r="A10" s="179" t="s">
        <v>396</v>
      </c>
      <c r="B10" s="179"/>
      <c r="C10" s="174"/>
      <c r="D10" s="174"/>
      <c r="E10" s="174"/>
      <c r="F10" s="180"/>
      <c r="G10" s="180"/>
      <c r="H10" s="180"/>
      <c r="I10" s="180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spans="1:26" ht="19.5" customHeight="1">
      <c r="A11" s="174"/>
      <c r="B11" s="174"/>
      <c r="C11" s="174"/>
      <c r="D11" s="174"/>
      <c r="E11" s="174"/>
      <c r="F11" s="174"/>
      <c r="G11" s="174"/>
      <c r="H11" s="180"/>
      <c r="I11" s="180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spans="1:26" ht="16.5" customHeight="1">
      <c r="A12" s="174"/>
      <c r="B12" s="174"/>
      <c r="C12" s="174"/>
      <c r="D12" s="174"/>
      <c r="E12" s="174"/>
      <c r="F12" s="174"/>
      <c r="G12" s="174"/>
      <c r="H12" s="180"/>
      <c r="I12" s="180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spans="1:26" ht="18" customHeight="1">
      <c r="A13" s="174" t="s">
        <v>397</v>
      </c>
      <c r="B13" s="174"/>
      <c r="C13" s="174"/>
      <c r="D13" s="174"/>
      <c r="E13" s="174"/>
      <c r="F13" s="180"/>
      <c r="G13" s="180"/>
      <c r="H13" s="180"/>
      <c r="I13" s="180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spans="1:26" ht="16.5" customHeight="1">
      <c r="A14" s="174"/>
      <c r="B14" s="174"/>
      <c r="C14" s="174"/>
      <c r="D14" s="174"/>
      <c r="E14" s="174"/>
      <c r="F14" s="180"/>
      <c r="G14" s="180"/>
      <c r="H14" s="180"/>
      <c r="I14" s="180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spans="1:26" ht="42" customHeight="1">
      <c r="A15" s="177" t="s">
        <v>29</v>
      </c>
      <c r="B15" s="177" t="s">
        <v>398</v>
      </c>
      <c r="C15" s="177" t="s">
        <v>399</v>
      </c>
      <c r="D15" s="182" t="s">
        <v>400</v>
      </c>
      <c r="E15" s="182" t="s">
        <v>401</v>
      </c>
      <c r="F15" s="182" t="s">
        <v>402</v>
      </c>
      <c r="G15" s="182" t="s">
        <v>403</v>
      </c>
      <c r="H15" s="182" t="s">
        <v>404</v>
      </c>
      <c r="I15" s="177" t="s">
        <v>405</v>
      </c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spans="1:26" ht="16.5" customHeight="1">
      <c r="A16" s="183">
        <v>1</v>
      </c>
      <c r="B16" s="183" t="s">
        <v>406</v>
      </c>
      <c r="C16" s="183"/>
      <c r="D16" s="184">
        <v>44084</v>
      </c>
      <c r="E16" s="183" t="s">
        <v>408</v>
      </c>
      <c r="F16" s="185">
        <v>100000</v>
      </c>
      <c r="G16" s="185">
        <v>5</v>
      </c>
      <c r="H16" s="185">
        <f t="shared" ref="H16:H22" si="0">(F16*G16)/100</f>
        <v>5000</v>
      </c>
      <c r="I16" s="185">
        <f t="shared" ref="I16:I22" si="1">F16-H16</f>
        <v>95000</v>
      </c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spans="1:26" ht="16.5" customHeight="1">
      <c r="A17" s="183">
        <v>2</v>
      </c>
      <c r="B17" s="183" t="s">
        <v>412</v>
      </c>
      <c r="C17" s="183"/>
      <c r="D17" s="184">
        <v>44085</v>
      </c>
      <c r="E17" s="183" t="s">
        <v>413</v>
      </c>
      <c r="F17" s="183">
        <v>1000000</v>
      </c>
      <c r="G17" s="185">
        <v>5</v>
      </c>
      <c r="H17" s="185">
        <f t="shared" si="0"/>
        <v>50000</v>
      </c>
      <c r="I17" s="185">
        <f t="shared" si="1"/>
        <v>950000</v>
      </c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spans="1:26" ht="21" customHeight="1">
      <c r="A18" s="183">
        <v>3</v>
      </c>
      <c r="B18" s="183" t="s">
        <v>415</v>
      </c>
      <c r="C18" s="183"/>
      <c r="D18" s="184">
        <v>44086</v>
      </c>
      <c r="E18" s="183" t="s">
        <v>417</v>
      </c>
      <c r="F18" s="183">
        <v>1000000</v>
      </c>
      <c r="G18" s="185">
        <v>5</v>
      </c>
      <c r="H18" s="185">
        <f t="shared" si="0"/>
        <v>50000</v>
      </c>
      <c r="I18" s="185">
        <f t="shared" si="1"/>
        <v>950000</v>
      </c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spans="1:26" ht="21" customHeight="1">
      <c r="A19" s="183">
        <v>4</v>
      </c>
      <c r="B19" s="183" t="s">
        <v>415</v>
      </c>
      <c r="C19" s="183"/>
      <c r="D19" s="184">
        <v>44087</v>
      </c>
      <c r="E19" s="183" t="s">
        <v>419</v>
      </c>
      <c r="F19" s="183">
        <v>1000000</v>
      </c>
      <c r="G19" s="185">
        <v>5</v>
      </c>
      <c r="H19" s="185">
        <f t="shared" si="0"/>
        <v>50000</v>
      </c>
      <c r="I19" s="185">
        <f t="shared" si="1"/>
        <v>950000</v>
      </c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spans="1:26" ht="19.5" customHeight="1">
      <c r="A20" s="183">
        <v>5</v>
      </c>
      <c r="B20" s="183" t="s">
        <v>415</v>
      </c>
      <c r="C20" s="183"/>
      <c r="D20" s="184">
        <v>44088</v>
      </c>
      <c r="E20" s="183" t="s">
        <v>421</v>
      </c>
      <c r="F20" s="183">
        <v>1000000</v>
      </c>
      <c r="G20" s="185">
        <v>5</v>
      </c>
      <c r="H20" s="185">
        <f t="shared" si="0"/>
        <v>50000</v>
      </c>
      <c r="I20" s="185">
        <f t="shared" si="1"/>
        <v>950000</v>
      </c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spans="1:26" ht="16.5" customHeight="1">
      <c r="A21" s="183">
        <v>6</v>
      </c>
      <c r="B21" s="183" t="s">
        <v>415</v>
      </c>
      <c r="C21" s="183"/>
      <c r="D21" s="184">
        <v>44089</v>
      </c>
      <c r="E21" s="183" t="s">
        <v>417</v>
      </c>
      <c r="F21" s="183">
        <v>1000000</v>
      </c>
      <c r="G21" s="185">
        <v>5</v>
      </c>
      <c r="H21" s="185">
        <f t="shared" si="0"/>
        <v>50000</v>
      </c>
      <c r="I21" s="185">
        <f t="shared" si="1"/>
        <v>950000</v>
      </c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spans="1:26" ht="15" customHeight="1">
      <c r="A22" s="183">
        <v>7</v>
      </c>
      <c r="B22" s="183" t="s">
        <v>415</v>
      </c>
      <c r="C22" s="183"/>
      <c r="D22" s="184">
        <v>44090</v>
      </c>
      <c r="E22" s="183" t="s">
        <v>425</v>
      </c>
      <c r="F22" s="183">
        <v>1000000</v>
      </c>
      <c r="G22" s="185">
        <v>5</v>
      </c>
      <c r="H22" s="185">
        <f t="shared" si="0"/>
        <v>50000</v>
      </c>
      <c r="I22" s="185">
        <f t="shared" si="1"/>
        <v>950000</v>
      </c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spans="1:26" ht="16.5" customHeight="1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spans="1:26" ht="16.5" customHeight="1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spans="1:26" ht="16.5" customHeight="1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spans="1:26" ht="16.5" customHeight="1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spans="1:26" ht="16.5" customHeight="1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spans="1:26" ht="16.5" customHeight="1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spans="1:26" ht="16.5" customHeight="1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spans="1:26" ht="16.5" customHeight="1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spans="1:26" ht="16.5" customHeight="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spans="1:26" ht="16.5" customHeight="1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spans="1:26" ht="16.5" customHeight="1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spans="1:26" ht="16.5" customHeight="1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spans="1:26" ht="16.5" customHeight="1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spans="1:26" ht="16.5" customHeight="1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spans="1:26" ht="16.5" customHeight="1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spans="1:26" ht="16.5" customHeight="1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spans="1:26" ht="16.5" customHeight="1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spans="1:26" ht="16.5" customHeight="1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spans="1:26" ht="16.5" customHeight="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spans="1:26" ht="16.5" customHeigh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spans="1:26" ht="16.5" customHeight="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spans="1:26" ht="16.5" customHeight="1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spans="1:26" ht="16.5" customHeight="1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spans="1:26" ht="16.5" customHeight="1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spans="1:26" ht="16.5" customHeight="1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spans="1:26" ht="16.5" customHeight="1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spans="1:26" ht="16.5" customHeight="1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spans="1:26" ht="16.5" customHeight="1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spans="1:26" ht="16.5" customHeight="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spans="1:26" ht="16.5" customHeight="1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 ht="16.5" customHeight="1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spans="1:26" ht="16.5" customHeight="1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spans="1:26" ht="16.5" customHeight="1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spans="1:26" ht="16.5" customHeight="1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spans="1:26" ht="16.5" customHeight="1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spans="1:26" ht="16.5" customHeight="1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spans="1:26" ht="16.5" customHeight="1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spans="1:26" ht="16.5" customHeight="1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spans="1:26" ht="16.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6.5" customHeigh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spans="1:26" ht="16.5" customHeight="1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spans="1:26" ht="16.5" customHeight="1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spans="1:26" ht="16.5" customHeight="1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spans="1:26" ht="16.5" customHeight="1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spans="1:26" ht="16.5" customHeight="1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spans="1:26" ht="16.5" customHeight="1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spans="1:26" ht="16.5" customHeight="1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spans="1:26" ht="16.5" customHeight="1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spans="1:26" ht="16.5" customHeight="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spans="1:26" ht="16.5" customHeight="1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spans="1:26" ht="16.5" customHeight="1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spans="1:26" ht="16.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spans="1:26" ht="16.5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spans="1:26" ht="16.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spans="1:26" ht="16.5" customHeight="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spans="1:26" ht="16.5" customHeight="1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spans="1:26" ht="16.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spans="1:26" ht="16.5" customHeight="1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spans="1:26" ht="16.5" customHeight="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spans="1:26" ht="16.5" customHeight="1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spans="1:26" ht="16.5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spans="1:26" ht="16.5" customHeight="1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spans="1:26" ht="16.5" customHeight="1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spans="1:26" ht="16.5" customHeight="1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spans="1:26" ht="16.5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spans="1:26" ht="16.5" customHeight="1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spans="1:26" ht="16.5" customHeight="1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spans="1:26" ht="16.5" customHeight="1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spans="1:26" ht="16.5" customHeight="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spans="1:26" ht="16.5" customHeight="1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spans="1:26" ht="16.5" customHeight="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spans="1:26" ht="16.5" customHeight="1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spans="1:26" ht="16.5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spans="1:26" ht="16.5" customHeight="1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spans="1:26" ht="16.5" customHeight="1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spans="1:26" ht="16.5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spans="1:26" ht="16.5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spans="1:26" ht="16.5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spans="1:26" ht="16.5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spans="1:26" ht="16.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spans="1:26" ht="16.5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spans="1:26" ht="16.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spans="1:26" ht="16.5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spans="1:26" ht="16.5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spans="1:26" ht="16.5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ht="16.5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spans="1:26" ht="16.5" customHeight="1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spans="1:26" ht="16.5" customHeight="1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spans="1:26" ht="16.5" customHeight="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spans="1:26" ht="16.5" customHeight="1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spans="1:26" ht="16.5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spans="1:26" ht="16.5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spans="1:26" ht="16.5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spans="1:26" ht="16.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spans="1:26" ht="16.5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spans="1:26" ht="16.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spans="1:26" ht="16.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spans="1:26" ht="16.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spans="1:26" ht="16.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spans="1:26" ht="16.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spans="1:26" ht="16.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spans="1:26" ht="16.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spans="1:26" ht="16.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spans="1:26" ht="16.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spans="1:26" ht="16.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spans="1:26" ht="16.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spans="1:26" ht="16.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spans="1:26" ht="16.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spans="1:26" ht="16.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spans="1:26" ht="16.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spans="1:26" ht="16.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spans="1:26" ht="16.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spans="1:26" ht="16.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spans="1:26" ht="16.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spans="1:26" ht="16.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spans="1:26" ht="16.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spans="1:26" ht="16.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spans="1:26" ht="16.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spans="1:26" ht="16.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spans="1:26" ht="16.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spans="1:26" ht="16.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spans="1:26" ht="16.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spans="1:26" ht="16.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spans="1:26" ht="16.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spans="1:26" ht="16.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spans="1:26" ht="16.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spans="1:26" ht="16.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spans="1:26" ht="16.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spans="1:26" ht="16.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spans="1:26" ht="16.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spans="1:26" ht="16.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spans="1:26" ht="16.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spans="1:26" ht="16.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spans="1:26" ht="16.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spans="1:26" ht="16.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spans="1:26" ht="16.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spans="1:26" ht="16.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spans="1:26" ht="16.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spans="1:26" ht="16.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spans="1:26" ht="16.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spans="1:26" ht="16.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spans="1:26" ht="16.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spans="1:26" ht="16.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spans="1:26" ht="16.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spans="1:26" ht="16.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spans="1:26" ht="16.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spans="1:26" ht="16.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spans="1:26" ht="16.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spans="1:26" ht="16.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spans="1:26" ht="16.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spans="1:26" ht="16.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spans="1:26" ht="16.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spans="1:26" ht="16.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spans="1:26" ht="16.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spans="1:26" ht="16.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spans="1:26" ht="16.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spans="1:26" ht="16.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spans="1:26" ht="16.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spans="1:26" ht="16.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spans="1:26" ht="16.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spans="1:26" ht="16.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spans="1:26" ht="16.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spans="1:26" ht="16.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spans="1:26" ht="16.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spans="1:26" ht="16.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spans="1:26" ht="16.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spans="1:26" ht="16.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spans="1:26" ht="16.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spans="1:26" ht="16.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spans="1:26" ht="16.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spans="1:26" ht="16.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spans="1:26" ht="16.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spans="1:26" ht="16.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spans="1:26" ht="16.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ht="16.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spans="1:26" ht="16.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spans="1:26" ht="16.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spans="1:26" ht="16.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spans="1:26" ht="16.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spans="1:26" ht="16.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spans="1:26" ht="16.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spans="1:26" ht="16.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spans="1:26" ht="16.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spans="1:26" ht="16.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spans="1:26" ht="16.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spans="1:26" ht="16.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spans="1:26" ht="16.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spans="1:26" ht="16.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spans="1:26" ht="16.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spans="1:26" ht="16.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spans="1:26" ht="16.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spans="1:26" ht="16.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spans="1:26" ht="16.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spans="1:26" ht="16.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spans="1:26" ht="16.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spans="1:26" ht="16.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spans="1:26" ht="16.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spans="1:26" ht="16.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spans="1:26" ht="16.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spans="1:26" ht="16.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C3"/>
    <mergeCell ref="D2:E3"/>
  </mergeCells>
  <dataValidations count="1">
    <dataValidation type="list" allowBlank="1" showErrorMessage="1" sqref="E16:E22" xr:uid="{00000000-0002-0000-0600-000000000000}">
      <formula1>"Contract of Supply,Rent,Interest,Director fees,Professional Fees,Technical &amp; Management Fees"</formula1>
    </dataValidation>
  </dataValidations>
  <pageMargins left="0.70866141732283472" right="0.70866141732283472" top="0.74803149606299213" bottom="0.74803149606299213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workbookViewId="0">
      <selection sqref="A1:J1"/>
    </sheetView>
  </sheetViews>
  <sheetFormatPr defaultColWidth="12.5703125" defaultRowHeight="15" customHeight="1"/>
  <cols>
    <col min="1" max="1" width="3.7109375" customWidth="1"/>
    <col min="2" max="2" width="23.85546875" customWidth="1"/>
    <col min="3" max="9" width="12.5703125" customWidth="1"/>
    <col min="10" max="10" width="13.5703125" customWidth="1"/>
    <col min="11" max="26" width="14.42578125" customWidth="1"/>
  </cols>
  <sheetData>
    <row r="1" spans="1:10" ht="15.75" customHeight="1">
      <c r="A1" s="230" t="s">
        <v>387</v>
      </c>
      <c r="B1" s="191"/>
      <c r="C1" s="191"/>
      <c r="D1" s="191"/>
      <c r="E1" s="191"/>
      <c r="F1" s="191"/>
      <c r="G1" s="191"/>
      <c r="H1" s="191"/>
      <c r="I1" s="191"/>
      <c r="J1" s="191"/>
    </row>
    <row r="2" spans="1:10" ht="15.75" customHeight="1">
      <c r="A2" s="37" t="s">
        <v>29</v>
      </c>
      <c r="B2" s="37" t="s">
        <v>8</v>
      </c>
      <c r="C2" s="37" t="s">
        <v>42</v>
      </c>
      <c r="D2" s="37" t="s">
        <v>43</v>
      </c>
      <c r="E2" s="37" t="s">
        <v>44</v>
      </c>
      <c r="F2" s="37" t="s">
        <v>388</v>
      </c>
      <c r="G2" s="37" t="s">
        <v>389</v>
      </c>
      <c r="H2" s="37" t="s">
        <v>12</v>
      </c>
      <c r="I2" s="37" t="s">
        <v>390</v>
      </c>
      <c r="J2" s="37" t="s">
        <v>391</v>
      </c>
    </row>
    <row r="3" spans="1:10" ht="15.75" customHeight="1">
      <c r="A3" s="143">
        <v>1</v>
      </c>
      <c r="B3" s="143" t="s">
        <v>196</v>
      </c>
      <c r="C3" s="175">
        <f t="shared" ref="C3:D3" si="0">30%*$G3</f>
        <v>225000</v>
      </c>
      <c r="D3" s="175">
        <f t="shared" si="0"/>
        <v>225000</v>
      </c>
      <c r="E3" s="175">
        <f t="shared" ref="E3:F3" si="1">20%*$G3</f>
        <v>150000</v>
      </c>
      <c r="F3" s="175">
        <f t="shared" si="1"/>
        <v>150000</v>
      </c>
      <c r="G3" s="176">
        <v>750000</v>
      </c>
      <c r="H3" s="175">
        <f t="shared" ref="H3:H6" si="2">8%*(SUM(C3:E3))</f>
        <v>48000</v>
      </c>
      <c r="I3" s="176">
        <v>2000000</v>
      </c>
      <c r="J3" s="175">
        <f t="shared" ref="J3:J6" si="3">IF(G3&lt;70000,0,(MAX(G3*12-H3*12-MIN(I3*0.2,500000)-800000,0)*0.15+MAX(G3*12-H3*12-MIN(I3*0.2,500000)-3000000,0)*0.03+MAX(G3*12-H3*12-MIN(I3*0.2,500000)-12000000,0)*0.03+MAX(G3*12-H3*12-MIN(I3*0.2,500000)-25000000,0)*0.02+MAX(G3*12-H3*12-MIN(I3*0.2,500000)-50000000,0)*0.02)/12)</f>
        <v>102860</v>
      </c>
    </row>
    <row r="4" spans="1:10" ht="15.75" customHeight="1">
      <c r="A4" s="143">
        <v>2</v>
      </c>
      <c r="B4" s="143" t="s">
        <v>201</v>
      </c>
      <c r="C4" s="175">
        <f t="shared" ref="C4:D4" si="4">30%*$G4</f>
        <v>120000</v>
      </c>
      <c r="D4" s="175">
        <f t="shared" si="4"/>
        <v>120000</v>
      </c>
      <c r="E4" s="175">
        <f t="shared" ref="E4:F4" si="5">20%*$G4</f>
        <v>80000</v>
      </c>
      <c r="F4" s="175">
        <f t="shared" si="5"/>
        <v>80000</v>
      </c>
      <c r="G4" s="176">
        <v>400000</v>
      </c>
      <c r="H4" s="175">
        <f t="shared" si="2"/>
        <v>25600</v>
      </c>
      <c r="I4" s="176">
        <v>200000</v>
      </c>
      <c r="J4" s="175">
        <f t="shared" si="3"/>
        <v>49292</v>
      </c>
    </row>
    <row r="5" spans="1:10" ht="15.75" customHeight="1">
      <c r="A5" s="143">
        <v>3</v>
      </c>
      <c r="B5" s="143" t="s">
        <v>205</v>
      </c>
      <c r="C5" s="175">
        <f t="shared" ref="C5:D5" si="6">30%*$G5</f>
        <v>36000</v>
      </c>
      <c r="D5" s="175">
        <f t="shared" si="6"/>
        <v>36000</v>
      </c>
      <c r="E5" s="175">
        <f t="shared" ref="E5:F5" si="7">20%*$G5</f>
        <v>24000</v>
      </c>
      <c r="F5" s="175">
        <f t="shared" si="7"/>
        <v>24000</v>
      </c>
      <c r="G5" s="176">
        <v>120000</v>
      </c>
      <c r="H5" s="175">
        <f t="shared" si="2"/>
        <v>7680</v>
      </c>
      <c r="I5" s="176">
        <v>200000</v>
      </c>
      <c r="J5" s="175">
        <f t="shared" si="3"/>
        <v>6348</v>
      </c>
    </row>
    <row r="6" spans="1:10" ht="15.75" customHeight="1">
      <c r="A6" s="143">
        <v>4</v>
      </c>
      <c r="B6" s="143" t="s">
        <v>208</v>
      </c>
      <c r="C6" s="175">
        <f t="shared" ref="C6:D6" si="8">30%*$G6</f>
        <v>26400</v>
      </c>
      <c r="D6" s="175">
        <f t="shared" si="8"/>
        <v>26400</v>
      </c>
      <c r="E6" s="175">
        <f t="shared" ref="E6:F6" si="9">20%*$G6</f>
        <v>17600</v>
      </c>
      <c r="F6" s="175">
        <f t="shared" si="9"/>
        <v>17600</v>
      </c>
      <c r="G6" s="176">
        <v>88000</v>
      </c>
      <c r="H6" s="175">
        <f t="shared" si="2"/>
        <v>5632</v>
      </c>
      <c r="I6" s="176">
        <v>200000</v>
      </c>
      <c r="J6" s="175">
        <f t="shared" si="3"/>
        <v>1855.1999999999998</v>
      </c>
    </row>
    <row r="7" spans="1:10" ht="15.75" customHeight="1">
      <c r="A7" s="143">
        <v>5</v>
      </c>
      <c r="B7" s="143"/>
      <c r="C7" s="143"/>
      <c r="D7" s="143"/>
      <c r="E7" s="143"/>
      <c r="F7" s="143"/>
      <c r="G7" s="181"/>
      <c r="H7" s="181"/>
      <c r="I7" s="181"/>
      <c r="J7" s="181"/>
    </row>
    <row r="8" spans="1:10" ht="15.75" customHeight="1">
      <c r="A8" s="143">
        <v>6</v>
      </c>
      <c r="B8" s="143"/>
      <c r="C8" s="143"/>
      <c r="D8" s="143"/>
      <c r="E8" s="143"/>
      <c r="F8" s="143"/>
      <c r="G8" s="181"/>
      <c r="H8" s="181"/>
      <c r="I8" s="181"/>
      <c r="J8" s="181"/>
    </row>
    <row r="9" spans="1:10" ht="15.75" customHeight="1">
      <c r="A9" s="143">
        <v>7</v>
      </c>
      <c r="B9" s="143"/>
      <c r="C9" s="143"/>
      <c r="D9" s="143"/>
      <c r="E9" s="143"/>
      <c r="F9" s="143"/>
      <c r="G9" s="181"/>
      <c r="H9" s="181"/>
      <c r="I9" s="181"/>
      <c r="J9" s="181"/>
    </row>
    <row r="10" spans="1:10" ht="15.75" customHeight="1">
      <c r="A10" s="143">
        <v>8</v>
      </c>
      <c r="B10" s="143"/>
      <c r="C10" s="143"/>
      <c r="D10" s="143"/>
      <c r="E10" s="143"/>
      <c r="F10" s="143"/>
      <c r="G10" s="181"/>
      <c r="H10" s="181"/>
      <c r="I10" s="181"/>
      <c r="J10" s="181"/>
    </row>
    <row r="11" spans="1:10" ht="15.75" customHeight="1">
      <c r="A11" s="143"/>
      <c r="B11" s="143"/>
      <c r="C11" s="143"/>
      <c r="D11" s="143"/>
      <c r="E11" s="143"/>
      <c r="F11" s="143"/>
      <c r="G11" s="181"/>
      <c r="H11" s="181"/>
      <c r="I11" s="181"/>
      <c r="J11" s="181"/>
    </row>
    <row r="12" spans="1:10" ht="15.75" customHeight="1">
      <c r="A12" s="143"/>
      <c r="B12" s="143"/>
      <c r="C12" s="143"/>
      <c r="D12" s="143"/>
      <c r="E12" s="143"/>
      <c r="F12" s="143"/>
      <c r="G12" s="181"/>
      <c r="H12" s="181"/>
      <c r="I12" s="181"/>
      <c r="J12" s="181"/>
    </row>
    <row r="13" spans="1:10" ht="15.75" customHeight="1">
      <c r="A13" s="143"/>
      <c r="B13" s="143"/>
      <c r="C13" s="143"/>
      <c r="D13" s="143"/>
      <c r="E13" s="143"/>
      <c r="F13" s="143"/>
      <c r="G13" s="181"/>
      <c r="H13" s="181"/>
      <c r="I13" s="181"/>
      <c r="J13" s="181"/>
    </row>
    <row r="14" spans="1:10" ht="15.75" customHeight="1">
      <c r="A14" s="143"/>
      <c r="B14" s="143"/>
      <c r="C14" s="143"/>
      <c r="D14" s="143"/>
      <c r="E14" s="143"/>
      <c r="F14" s="143"/>
      <c r="G14" s="143"/>
      <c r="H14" s="143"/>
      <c r="I14" s="143"/>
      <c r="J14" s="143"/>
    </row>
    <row r="15" spans="1:10" ht="15.75" customHeight="1">
      <c r="A15" s="143"/>
      <c r="B15" s="143"/>
      <c r="C15" s="143"/>
      <c r="D15" s="143"/>
      <c r="E15" s="143"/>
      <c r="F15" s="143"/>
      <c r="G15" s="143"/>
      <c r="H15" s="143"/>
      <c r="I15" s="143"/>
      <c r="J15" s="143"/>
    </row>
    <row r="16" spans="1:10" ht="15.75" customHeight="1">
      <c r="A16" s="143"/>
      <c r="B16" s="143"/>
      <c r="C16" s="143"/>
      <c r="D16" s="143"/>
      <c r="E16" s="143"/>
      <c r="F16" s="143"/>
      <c r="G16" s="143"/>
      <c r="H16" s="143"/>
      <c r="I16" s="143"/>
      <c r="J16" s="14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000"/>
  <sheetViews>
    <sheetView workbookViewId="0">
      <selection sqref="A1:F1"/>
    </sheetView>
  </sheetViews>
  <sheetFormatPr defaultColWidth="12.5703125" defaultRowHeight="15" customHeight="1"/>
  <cols>
    <col min="1" max="1" width="3.7109375" customWidth="1"/>
    <col min="2" max="2" width="23.85546875" customWidth="1"/>
    <col min="3" max="5" width="12.5703125" customWidth="1"/>
    <col min="6" max="6" width="13.5703125" customWidth="1"/>
    <col min="7" max="26" width="14.42578125" customWidth="1"/>
  </cols>
  <sheetData>
    <row r="1" spans="1:6" ht="15.75" customHeight="1">
      <c r="A1" s="230" t="s">
        <v>387</v>
      </c>
      <c r="B1" s="191"/>
      <c r="C1" s="191"/>
      <c r="D1" s="191"/>
      <c r="E1" s="191"/>
      <c r="F1" s="191"/>
    </row>
    <row r="2" spans="1:6" ht="15.75" customHeight="1">
      <c r="A2" s="37" t="s">
        <v>29</v>
      </c>
      <c r="B2" s="37" t="s">
        <v>8</v>
      </c>
      <c r="C2" s="37" t="s">
        <v>389</v>
      </c>
      <c r="D2" s="37" t="s">
        <v>12</v>
      </c>
      <c r="E2" s="37" t="s">
        <v>390</v>
      </c>
      <c r="F2" s="37" t="s">
        <v>391</v>
      </c>
    </row>
    <row r="3" spans="1:6" ht="15.75" customHeight="1">
      <c r="A3" s="143">
        <v>1</v>
      </c>
      <c r="B3" s="143" t="s">
        <v>196</v>
      </c>
      <c r="C3" s="176">
        <v>680000</v>
      </c>
      <c r="D3" s="175"/>
      <c r="E3" s="176">
        <v>1500000</v>
      </c>
      <c r="F3" s="175">
        <f t="shared" ref="F3:F6" si="0">IF(C3&lt;70000,0,(MAX(C3*12-D3*12-MIN(E3*0.2,500000)-800000,0)*0.15+MAX(C3*12-D3*12-MIN(E3*0.2,500000)-3000000,0)*0.03+MAX(C3*12-D3*12-MIN(E3*0.2,500000)-12000000,0)*0.03+MAX(C3*12-D3*12-MIN(E3*0.2,500000)-25000000,0)*0.02+MAX(C3*12-D3*12-MIN(E3*0.2,500000)-50000000,0)*0.02)/12)</f>
        <v>100400</v>
      </c>
    </row>
    <row r="4" spans="1:6" ht="15.75" customHeight="1">
      <c r="A4" s="143">
        <v>2</v>
      </c>
      <c r="B4" s="143" t="s">
        <v>201</v>
      </c>
      <c r="C4" s="176">
        <v>400000</v>
      </c>
      <c r="D4" s="175"/>
      <c r="E4" s="176">
        <v>200000</v>
      </c>
      <c r="F4" s="175">
        <f t="shared" si="0"/>
        <v>53900</v>
      </c>
    </row>
    <row r="5" spans="1:6" ht="15.75" customHeight="1">
      <c r="A5" s="143">
        <v>3</v>
      </c>
      <c r="B5" s="143" t="s">
        <v>205</v>
      </c>
      <c r="C5" s="176">
        <v>120000</v>
      </c>
      <c r="D5" s="175"/>
      <c r="E5" s="176">
        <v>200000</v>
      </c>
      <c r="F5" s="175">
        <f t="shared" si="0"/>
        <v>7500</v>
      </c>
    </row>
    <row r="6" spans="1:6" ht="15.75" customHeight="1">
      <c r="A6" s="143">
        <v>4</v>
      </c>
      <c r="B6" s="143" t="s">
        <v>208</v>
      </c>
      <c r="C6" s="176">
        <v>88000</v>
      </c>
      <c r="D6" s="175"/>
      <c r="E6" s="176">
        <v>200000</v>
      </c>
      <c r="F6" s="175">
        <f t="shared" si="0"/>
        <v>2700</v>
      </c>
    </row>
    <row r="7" spans="1:6" ht="15.75" customHeight="1">
      <c r="A7" s="143">
        <v>5</v>
      </c>
      <c r="B7" s="143"/>
      <c r="C7" s="181"/>
      <c r="D7" s="181"/>
      <c r="E7" s="181"/>
      <c r="F7" s="181"/>
    </row>
    <row r="8" spans="1:6" ht="15.75" customHeight="1">
      <c r="A8" s="143">
        <v>6</v>
      </c>
      <c r="B8" s="143"/>
      <c r="C8" s="181"/>
      <c r="D8" s="181"/>
      <c r="E8" s="181"/>
      <c r="F8" s="181"/>
    </row>
    <row r="9" spans="1:6" ht="15.75" customHeight="1">
      <c r="A9" s="143">
        <v>7</v>
      </c>
      <c r="B9" s="143"/>
      <c r="C9" s="181"/>
      <c r="D9" s="181"/>
      <c r="E9" s="181"/>
      <c r="F9" s="181"/>
    </row>
    <row r="10" spans="1:6" ht="15.75" customHeight="1">
      <c r="A10" s="143">
        <v>8</v>
      </c>
      <c r="B10" s="143"/>
      <c r="C10" s="181"/>
      <c r="D10" s="181"/>
      <c r="E10" s="181"/>
      <c r="F10" s="181"/>
    </row>
    <row r="11" spans="1:6" ht="15.75" customHeight="1">
      <c r="A11" s="143"/>
      <c r="B11" s="143"/>
      <c r="C11" s="181"/>
      <c r="D11" s="181"/>
      <c r="E11" s="181"/>
      <c r="F11" s="181"/>
    </row>
    <row r="12" spans="1:6" ht="15.75" customHeight="1">
      <c r="A12" s="143"/>
      <c r="B12" s="143"/>
      <c r="C12" s="181"/>
      <c r="D12" s="181"/>
      <c r="E12" s="181"/>
      <c r="F12" s="181"/>
    </row>
    <row r="13" spans="1:6" ht="15.75" customHeight="1">
      <c r="A13" s="143"/>
      <c r="B13" s="143"/>
      <c r="C13" s="181"/>
      <c r="D13" s="181"/>
      <c r="E13" s="181"/>
      <c r="F13" s="181"/>
    </row>
    <row r="14" spans="1:6" ht="15.75" customHeight="1">
      <c r="A14" s="143"/>
      <c r="B14" s="143"/>
      <c r="C14" s="143"/>
      <c r="D14" s="143"/>
      <c r="E14" s="143"/>
      <c r="F14" s="143"/>
    </row>
    <row r="15" spans="1:6" ht="15.75" customHeight="1">
      <c r="A15" s="143"/>
      <c r="B15" s="143"/>
      <c r="C15" s="143"/>
      <c r="D15" s="143"/>
      <c r="E15" s="143"/>
      <c r="F15" s="143"/>
    </row>
    <row r="16" spans="1:6" ht="15.75" customHeight="1">
      <c r="A16" s="143"/>
      <c r="B16" s="143"/>
      <c r="C16" s="143"/>
      <c r="D16" s="143"/>
      <c r="E16" s="143"/>
      <c r="F16" s="14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PAYROLL</vt:lpstr>
      <vt:lpstr>E-SLIP</vt:lpstr>
      <vt:lpstr>OLD PAYE</vt:lpstr>
      <vt:lpstr>PAYE SHORT</vt:lpstr>
      <vt:lpstr>NEW PAYE</vt:lpstr>
      <vt:lpstr>WHT SCENES</vt:lpstr>
      <vt:lpstr>WHT RATES SIRS</vt:lpstr>
      <vt:lpstr>2026 PAYE SHORT</vt:lpstr>
      <vt:lpstr>CLEAN WAGE 2026 PAYE 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Traction Outsourcing</dc:creator>
  <cp:keywords>Traction Outsourcing</cp:keywords>
  <cp:lastModifiedBy>Outsourcing</cp:lastModifiedBy>
  <dcterms:created xsi:type="dcterms:W3CDTF">2026-08-30T09:24:48Z</dcterms:created>
  <dcterms:modified xsi:type="dcterms:W3CDTF">2026-08-30T09:24:49Z</dcterms:modified>
</cp:coreProperties>
</file>